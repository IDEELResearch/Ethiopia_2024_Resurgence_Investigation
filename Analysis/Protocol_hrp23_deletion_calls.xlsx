
<file path=[Content_Types].xml><?xml version="1.0" encoding="utf-8"?>
<Types xmlns="http://schemas.openxmlformats.org/package/2006/content-type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10215"/>
  <workbookPr/>
  <mc:AlternateContent xmlns:mc="http://schemas.openxmlformats.org/markup-compatibility/2006">
    <mc:Choice Requires="x15">
      <x15ac:absPath xmlns:x15ac="http://schemas.microsoft.com/office/spreadsheetml/2010/11/ac" url="/Users/jonbparr/Dropbox/Malaria/HRP2/HRP2 Peru collaboration (Isabela 9-2023)/Manuscript/BioRxiv (2-2026)/BIORXIV_2026_707493/"/>
    </mc:Choice>
  </mc:AlternateContent>
  <xr:revisionPtr revIDLastSave="0" documentId="13_ncr:1_{CD854C6F-C198-C04E-B158-691AFA1D4143}" xr6:coauthVersionLast="47" xr6:coauthVersionMax="47" xr10:uidLastSave="{00000000-0000-0000-0000-000000000000}"/>
  <bookViews>
    <workbookView xWindow="0" yWindow="500" windowWidth="28800" windowHeight="16240" xr2:uid="{00000000-000D-0000-FFFF-FFFF00000000}"/>
  </bookViews>
  <sheets>
    <sheet name="Protocol details" sheetId="6" r:id="rId1"/>
    <sheet name="Conditions - 12uL" sheetId="3" r:id="rId2"/>
    <sheet name="Conditions - 25uL" sheetId="4" r:id="rId3"/>
    <sheet name="Quality control and calling" sheetId="2" r:id="rId4"/>
    <sheet name="Ordering - 2021 version"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41" i="5" l="1"/>
  <c r="G41" i="5" s="1"/>
  <c r="E40" i="5"/>
  <c r="E38" i="5"/>
  <c r="E32" i="5"/>
  <c r="G32" i="5" s="1"/>
  <c r="E31" i="5"/>
  <c r="G31" i="5" s="1"/>
  <c r="E30" i="5"/>
  <c r="G30" i="5" s="1"/>
  <c r="E27" i="5"/>
  <c r="E14" i="5"/>
  <c r="E13" i="5"/>
  <c r="E12" i="5"/>
  <c r="E11" i="5"/>
  <c r="E9" i="5"/>
  <c r="B21" i="4"/>
  <c r="B19" i="3"/>
  <c r="B21" i="3"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tc={6DC62B07-E6A7-6849-8D47-E75BA2B9845D}</author>
    <author>tc={AE07E2EB-D187-9842-B273-23EDD1934199}</author>
    <author>tc={295DD87E-3E51-7544-8446-248E059132D8}</author>
  </authors>
  <commentList>
    <comment ref="G21" authorId="0" shapeId="0" xr:uid="{6DC62B07-E6A7-6849-8D47-E75BA2B9845D}">
      <text>
        <t>[Threaded comment]
Your version of Excel allows you to read this threaded comment; however, any edits to it will get removed if the file is opened in a newer version of Excel. Learn more: https://go.microsoft.com/fwlink/?linkid=870924
Comment:
    Assume a separate assay for pfb_tublin</t>
      </text>
    </comment>
    <comment ref="G22" authorId="1" shapeId="0" xr:uid="{AE07E2EB-D187-9842-B273-23EDD1934199}">
      <text>
        <t>[Threaded comment]
Your version of Excel allows you to read this threaded comment; however, any edits to it will get removed if the file is opened in a newer version of Excel. Learn more: https://go.microsoft.com/fwlink/?linkid=870924
Comment:
    Assume a separate assay for pfb_tublin</t>
      </text>
    </comment>
    <comment ref="G23" authorId="2" shapeId="0" xr:uid="{295DD87E-3E51-7544-8446-248E059132D8}">
      <text>
        <t>[Threaded comment]
Your version of Excel allows you to read this threaded comment; however, any edits to it will get removed if the file is opened in a newer version of Excel. Learn more: https://go.microsoft.com/fwlink/?linkid=870924
Comment:
    Assume a separate assay for pfb_tublin</t>
      </text>
    </comment>
  </commentList>
</comments>
</file>

<file path=xl/sharedStrings.xml><?xml version="1.0" encoding="utf-8"?>
<sst xmlns="http://schemas.openxmlformats.org/spreadsheetml/2006/main" count="445" uniqueCount="233">
  <si>
    <t>Quality control and data analysis for the multiplex hrp2/3 real-time PCR assay (Grignard et al. EBM 2020)</t>
  </si>
  <si>
    <t>1. Look at NTCs, if any positive &lt;35 cycles, then repeat</t>
  </si>
  <si>
    <t>2. Look at positive controls.</t>
  </si>
  <si>
    <t>a. 3D7 (or PfINT) should be hrp2+, hrp3+, ldh+, humBT+</t>
  </si>
  <si>
    <t>b. DD2 should be hrp2-, hrp3+, ldh+, humBT-</t>
  </si>
  <si>
    <t>c. HB3 should be hrp2+, hrp3-, ldh+, humBT-. Note that we have commonly observed spurious, low-fluorescence signal in the HB3 (hrp3-) control for the hrp3 (VIC) probe. If observed, then raise the threshold just above the spurious(plateau) signal compared to 3D7 and DD2.</t>
  </si>
  <si>
    <t>5. Click analyze, or analyze data using your machine's controls.</t>
  </si>
  <si>
    <t>Hrp2 and hrp3 deletion calling algorithm</t>
  </si>
  <si>
    <t>3. Adjust thresholds to account for background.</t>
  </si>
  <si>
    <t>a. Focus on the Texas Red (pfldh) results for the entire plate. Adjust the Texas Red (pfldh) probe threshold as needed so that it is above the background noise for cycles ≥15.</t>
  </si>
  <si>
    <t>b. Focus on the Cy5 (human B-tubulin) results for the entire plate. Adjust the Cy5 (human B-tubulin) probe threshold as needed so that it is above the background noise for cycles ≥15.</t>
  </si>
  <si>
    <t>4. Synchronize hrp2 and hrp3 thresholds. Focus on the 3D7 control, adjusting the parasite probe thresholds (hrp2, hrp3, ldh) as needed to achieve equivalent cycle numbers (+/- 0.5 cycles).  This can be done when viewing amplification plots by unclicking the “auto” setting for a probe of interest and manually dragging the threshold up so that the Ct value is the same across probes.  In most cases, you will need to adjust the hrp2 and ldh thresholds to be consistent with the hrp3 value.</t>
  </si>
  <si>
    <t>Cycling conditions</t>
  </si>
  <si>
    <t>Primers &amp; Probes</t>
  </si>
  <si>
    <t>1x (ul)</t>
  </si>
  <si>
    <t>Total Concentration</t>
  </si>
  <si>
    <t>No. Cycles</t>
  </si>
  <si>
    <t>Temp</t>
  </si>
  <si>
    <t>Time</t>
  </si>
  <si>
    <t>Pfhrp2_F1:</t>
  </si>
  <si>
    <t>5’ TAATTSCGYATTTAATAATAACTTGTG-‘3</t>
  </si>
  <si>
    <t>pfhrp2 Fwd (20uM)</t>
  </si>
  <si>
    <t>200nM</t>
  </si>
  <si>
    <t>95C</t>
  </si>
  <si>
    <t>3 min</t>
  </si>
  <si>
    <t>Pfhrp2_R2:</t>
  </si>
  <si>
    <t>5’- CATCATCTACATGTGCTGGAG -‘3</t>
  </si>
  <si>
    <t>pfhrp2 Rev (20uM)</t>
  </si>
  <si>
    <t>15 sec</t>
  </si>
  <si>
    <t>Pfhrp2_probe:</t>
  </si>
  <si>
    <t>FAM 5’-ATGCAAAAGGACTTAATTTAAATAAGAGATT-‘3 BHQ2</t>
  </si>
  <si>
    <t>pfhrp2 probe (12uM)</t>
  </si>
  <si>
    <t>120nM</t>
  </si>
  <si>
    <t>FAM</t>
  </si>
  <si>
    <t>54C</t>
  </si>
  <si>
    <t>30 sec</t>
  </si>
  <si>
    <t>pfhrp3 Fwd (20uM)</t>
  </si>
  <si>
    <t>72C</t>
  </si>
  <si>
    <t>Pfhrp3_F2 :</t>
  </si>
  <si>
    <t>ACGGATTTCATTTTAACCCTTCACGA</t>
  </si>
  <si>
    <t>pfhrp3 Rev (20uM)</t>
  </si>
  <si>
    <t>Pfhrp3_R2 :</t>
  </si>
  <si>
    <t>TGAGAATCATCAAAACAAGCATTAGC</t>
  </si>
  <si>
    <t>pfhrp3 probe (12uM)</t>
  </si>
  <si>
    <t>HEX</t>
  </si>
  <si>
    <t>Pfhrp3_probe :</t>
  </si>
  <si>
    <t>HEX 5'- ACAATTCCCATACTTTACATCATGCA-'3 BHQ2</t>
  </si>
  <si>
    <t>pfldh Fwd (12uM)</t>
  </si>
  <si>
    <t>pfldh Rev (12uM)</t>
  </si>
  <si>
    <t>Pfldh_F :</t>
  </si>
  <si>
    <t>5’-ACGATTTGGCTGGAGCAGAT-‘3</t>
  </si>
  <si>
    <t>pfldh probe (8uM)</t>
  </si>
  <si>
    <t>080nM</t>
  </si>
  <si>
    <t>TexRd</t>
  </si>
  <si>
    <t>Pfldh_R :</t>
  </si>
  <si>
    <t>5’-TCTCTATTCCATTCTTTGTCACTCTTTC-‘3</t>
  </si>
  <si>
    <t>HumBB Fwd (12uM)</t>
  </si>
  <si>
    <t>Pfldh_probe:</t>
  </si>
  <si>
    <t>TexRd 5’-GTAATAGTAACAGCTGGATTTACCAAGGCCCCA-‘3 BHQ1</t>
  </si>
  <si>
    <t>HumBB Rev (12uM)</t>
  </si>
  <si>
    <t>HumBB probe (8uM)</t>
  </si>
  <si>
    <t>CY5</t>
  </si>
  <si>
    <t>HumTuBB_F:</t>
  </si>
  <si>
    <t>5’-AAGGAGGTCGATGAGCAGAT-‘3</t>
  </si>
  <si>
    <t>NH4 Buffer (10X)</t>
  </si>
  <si>
    <t>1.6X</t>
  </si>
  <si>
    <t>HumTuBB_R:</t>
  </si>
  <si>
    <t>5’-GCTGTCTTGACATTGTTGGG-‘3</t>
  </si>
  <si>
    <t>MgCl2 (50mM)</t>
  </si>
  <si>
    <t>4 mM</t>
  </si>
  <si>
    <t>HumanTuBB_P :</t>
  </si>
  <si>
    <t>CY5 5’-TTAACGTGCAGAACAAGAACAGCAGCT-‘3 BHQ2</t>
  </si>
  <si>
    <t>dNTPs (10 mM)</t>
  </si>
  <si>
    <t>800uM</t>
  </si>
  <si>
    <t>Biotaq Polymerase (5U/ul)</t>
  </si>
  <si>
    <t>0.96U</t>
  </si>
  <si>
    <t>Machine:</t>
  </si>
  <si>
    <t>Bio-Rad CFX384 Real-Time System</t>
  </si>
  <si>
    <t>H2O</t>
  </si>
  <si>
    <t>DNA</t>
  </si>
  <si>
    <t>Total</t>
  </si>
  <si>
    <t>2U</t>
  </si>
  <si>
    <t>QuantStudio 6 Flex</t>
  </si>
  <si>
    <t xml:space="preserve">Date: </t>
  </si>
  <si>
    <t>Purpose</t>
  </si>
  <si>
    <r>
      <t xml:space="preserve">Reagent requirements for molecular confirmation of </t>
    </r>
    <r>
      <rPr>
        <i/>
        <sz val="11"/>
        <color rgb="FF000000"/>
        <rFont val="Calibri"/>
        <family val="2"/>
      </rPr>
      <t xml:space="preserve">pfhrp2/3 </t>
    </r>
    <r>
      <rPr>
        <sz val="11"/>
        <color theme="1"/>
        <rFont val="Calibri"/>
        <family val="2"/>
        <scheme val="minor"/>
      </rPr>
      <t>deletions using real-time PCR</t>
    </r>
  </si>
  <si>
    <t>For</t>
  </si>
  <si>
    <t xml:space="preserve">Compiled by </t>
  </si>
  <si>
    <t>Kyaw Thwai, Ashenafi Assefa, Oksana Kharabora, Jonathan Parr</t>
  </si>
  <si>
    <t>Quantity</t>
  </si>
  <si>
    <t>(2,000 samples in duplicate, plus ~20% extra for controls and repeats)</t>
  </si>
  <si>
    <t>Name</t>
  </si>
  <si>
    <t>quantity per unit ordered</t>
  </si>
  <si>
    <t>ul per quantity</t>
  </si>
  <si>
    <t>total (ul or packages)</t>
  </si>
  <si>
    <t>Reference code</t>
  </si>
  <si>
    <t>Total required</t>
  </si>
  <si>
    <t>Total to order</t>
  </si>
  <si>
    <t>Company</t>
  </si>
  <si>
    <t>Purchasing link</t>
  </si>
  <si>
    <t>Notes</t>
  </si>
  <si>
    <t>Notes_2</t>
  </si>
  <si>
    <t>pfldh qPCR</t>
  </si>
  <si>
    <t>FastStart Universal Probe Master (Rox)</t>
  </si>
  <si>
    <t>Sigma Aldrich</t>
  </si>
  <si>
    <t>https://www.sigmaaldrich.com/US/en/product/roche/fsupmmro</t>
  </si>
  <si>
    <t>Singleton (quantitative PCR). Used to determine parasite density. We do not make deletion calls in low density samples with &lt;100 parasites/µL.</t>
  </si>
  <si>
    <t>pfldh-q probe (250nM scale, HPLC purified)</t>
  </si>
  <si>
    <t>custom</t>
  </si>
  <si>
    <t xml:space="preserve">IDT </t>
  </si>
  <si>
    <t>https://www.idtdna.com/pages/products/qpcr-and-pcr/custom-probes</t>
  </si>
  <si>
    <t>5'-FAM-AGTAATAGTAACAGCTGGATTTACCAAGGCCCCA-TAMRA-3'</t>
  </si>
  <si>
    <t>hrp2/3 multiplex real-time PCR</t>
  </si>
  <si>
    <t>BIO-21060-4</t>
  </si>
  <si>
    <t>Fisher Scientific</t>
  </si>
  <si>
    <t>https://www.thomassci.com/Chemicals/PCR-Reagents/_/BIOTAQ-DNA-Polymerase</t>
  </si>
  <si>
    <t>Duplicate. Total number of reactions can be reduced if only run in duplicate for any hrp2- or hrp3- negative samples identified during initial multiplex PCR</t>
  </si>
  <si>
    <t>(comes with Biotaq)</t>
  </si>
  <si>
    <t>Comes with Biotaq polymerase</t>
  </si>
  <si>
    <t>dNTPs</t>
  </si>
  <si>
    <t>BIO-39053 (DNTP-M10-10)</t>
  </si>
  <si>
    <t>https://www.thomassci.com/Molecular-Diagnostics/Amplification/dNTP/_/dNTP-Mix?q=BIO-39053</t>
  </si>
  <si>
    <t>pfhrp2 Fwd (25-100nM scale, salt-free)</t>
  </si>
  <si>
    <t>https://www.idtdna.com/pages/products/qpcr-and-pcr/custom-primers</t>
  </si>
  <si>
    <t>5’-TAATTSCGYATTTAATAATAACTTGTG-‘3</t>
  </si>
  <si>
    <t>pfhrp2 Rev (25-100nM scale, salt-free)</t>
  </si>
  <si>
    <t>5’-CATCATCTACATGTGCTGGAG-‘3</t>
  </si>
  <si>
    <t>pfhrp2 probe (250nM scale, HPLC purified)</t>
  </si>
  <si>
    <t>5'-FAM-ATGCAAAAGGACTTAATTTAAATAAGAGATT-BHQ2-3'</t>
  </si>
  <si>
    <t>pfhrp3 Fwd (25-100nM scale, salt-free)</t>
  </si>
  <si>
    <t>5'-ACGGATTTCATTTTAACCCTTCACGA-3'</t>
  </si>
  <si>
    <t>pfhrp3 Rev (25-100nM scale, salt-free)</t>
  </si>
  <si>
    <t>5'-TGAGAATCATCAAAACAAGCATTAGC-3'</t>
  </si>
  <si>
    <t>pfhrp3 probe (250nM scale, HPLC purified)</t>
  </si>
  <si>
    <t>5'-HEX-ACAATTCCCATACTTTACATCATGCA-BHQ2-3'</t>
  </si>
  <si>
    <t>pfldh qPCR and hrp2/3 multiplex real-time PCR</t>
  </si>
  <si>
    <t>pfldh Fwd (25-100nM scale, salt-free)</t>
  </si>
  <si>
    <t>5’-ACGATTTGGCTGGAGCAGAT-3'</t>
  </si>
  <si>
    <t>[Used for pfldh qPCR in singleton, hrp2/3 multiplex in duplicate.] Total number of reactions can be reduced if only run in duplicate for any hrp2- or hrp3- negative samples identified during initial multiplex PCR.</t>
  </si>
  <si>
    <t>pfldh Rev (25-100nM scale, salt-free)</t>
  </si>
  <si>
    <t>5’-TCTCTATTCCATTCTTTGTCACTCTTTC-3'</t>
  </si>
  <si>
    <t>pfldh probe (250nM scale, HPLC purified)</t>
  </si>
  <si>
    <t>5'-TexRd-GTAATAGTAACAGCTGGATTTACCAAGGCCCCA-BHQ1-3'</t>
  </si>
  <si>
    <t>Duplicate. Total number of reactions can be reduced if only run in duplicate for any hrp2- or hrp3- negative samples identified during initial multiplex PCR.</t>
  </si>
  <si>
    <t>HumBB Fwd (25-100nM scale, salt-free)</t>
  </si>
  <si>
    <t>HumBB Rev (25-100nM scale, salt-free)</t>
  </si>
  <si>
    <t>HumBB probe (250nM scale, HPLC purified)</t>
  </si>
  <si>
    <t>confirmatory PfBt real-time PCR</t>
  </si>
  <si>
    <t>FastStart Universal SYBR Green Master (Rox)</t>
  </si>
  <si>
    <t>https://www.sigmaaldrich.com/US/en/product/roche/fsusgmmro</t>
  </si>
  <si>
    <t>Fast Start Universal Probe Master (Rox).</t>
  </si>
  <si>
    <t>PfBtub run in singleton (confirmatory). Total number of reactions will be smaller, performed on any hrp2- or hrp3- negative samples identified during multiplex PCR</t>
  </si>
  <si>
    <t>PfBtub Fwd (25-100nM scale, salt-free)</t>
  </si>
  <si>
    <t>5'-AATAAATCATAATGATGTGCGCAAGTGATCC-3'</t>
  </si>
  <si>
    <t>PfBtub Rev (25-100nM scale, salt-free)</t>
  </si>
  <si>
    <t>5'-AATAAATCATAATCCTTTGTGGACATTCTTCCTC-3'</t>
  </si>
  <si>
    <t>96-well optical PCR plates (0.2mL)</t>
  </si>
  <si>
    <t>43-067-37</t>
  </si>
  <si>
    <t>https://www.fishersci.com/shop/products/applied-biosystems-microamp-optical-96-well-reaction-plate-barcode-4/4306737?searchHijack=true&amp;searchTerm=43-067-37&amp;searchType=RAPID&amp;matchedCatNo=43-067-37</t>
  </si>
  <si>
    <t>all</t>
  </si>
  <si>
    <t>Control: PfINT international standard</t>
  </si>
  <si>
    <t>04/176</t>
  </si>
  <si>
    <t>NIBSC</t>
  </si>
  <si>
    <t>https://www.nibsc.org/products/brm_product_catalogue/detail_page.aspx?catid=04/176</t>
  </si>
  <si>
    <t>hrp2+/3+ DNA control (preferred)</t>
  </si>
  <si>
    <t>Control: 3D7 genomic DNA</t>
  </si>
  <si>
    <t>MRA-151G,102G</t>
  </si>
  <si>
    <t>BEI</t>
  </si>
  <si>
    <t>https://www.beiresources.org/Catalog/BEINucleicAcids/MRA-102G.aspx</t>
  </si>
  <si>
    <t>(Alternative hrp2+/3+ DNA control if PfINT not available)</t>
  </si>
  <si>
    <t>Control: DD2 genomic DNA</t>
  </si>
  <si>
    <t>MRA-150G, 156G</t>
  </si>
  <si>
    <t>https://www.beiresources.org/Catalog/BEINucleicAcids/MRA-150G.aspx</t>
  </si>
  <si>
    <t>hrp2-/3+ DNA control</t>
  </si>
  <si>
    <t>Control: HB3 genomic DNA</t>
  </si>
  <si>
    <t>MRA-155G</t>
  </si>
  <si>
    <t>https://www.beiresources.org/Catalog/BEINucleicAcids/MRA-155G.aspx</t>
  </si>
  <si>
    <t>hrp2+/3- DNA control</t>
  </si>
  <si>
    <t>Optical plate covers (ABI)</t>
  </si>
  <si>
    <t>https://www.thermofisher.com/order/catalog/product/4311971</t>
  </si>
  <si>
    <t>Molecular grade water (500mL)</t>
  </si>
  <si>
    <t>MT46000CV</t>
  </si>
  <si>
    <t>https://www.fishersci.com/shop/products/cellgro-67/MT46000CV?searchHijack=true&amp;searchTerm=MT46000CV&amp;searchType=RAPID&amp;matchedCatNo=MT46000CV</t>
  </si>
  <si>
    <t>Buffer EB (250 ml)</t>
  </si>
  <si>
    <t>Cat. No. / ID: 19086</t>
  </si>
  <si>
    <t>QIAGEN</t>
  </si>
  <si>
    <t>https://www.qiagen.com/us/products/discovery-and-translational-research/lab-essentials/buffers-reagents/buffer-eb/</t>
  </si>
  <si>
    <t>For resuspending primers</t>
  </si>
  <si>
    <t>TE Buffer, Tris-EDTA, 1X Solution</t>
  </si>
  <si>
    <t>BP2473100</t>
  </si>
  <si>
    <t>https://www.fishersci.com/shop/products/tris-edta-1x-solution-ph-8-0-molecular-biology-fisher-bioreagents-3/BP2473100?searchHijack=true&amp;searchTerm=BP2473100&amp;searchType=RAPID&amp;matchedCatNo=BP2473100</t>
  </si>
  <si>
    <t>For resuspending probes</t>
  </si>
  <si>
    <t>DNA extraction</t>
  </si>
  <si>
    <t>DNA storage plates (LoBind preferred)</t>
  </si>
  <si>
    <t>E0030129504</t>
  </si>
  <si>
    <t>https://www.fishersci.com/shop/products/eppendorf-twin-tec-96-lobind-pcr-plates-1/E0030129504?searchHijack=true&amp;searchTerm=0030129.504&amp;searchType=RAPID&amp;matchedCatNo=0030129.504</t>
  </si>
  <si>
    <t>For storage of eluted DNA</t>
  </si>
  <si>
    <t>Plate seals (foil)</t>
  </si>
  <si>
    <t>12-156</t>
  </si>
  <si>
    <t>Genesee</t>
  </si>
  <si>
    <t>https://geneseesci.com/shop-online/product-details/12-156/extreme-foilseal</t>
  </si>
  <si>
    <t>Chelex/Tween or QIAGEN</t>
  </si>
  <si>
    <t>Either DNA extraction method is fine</t>
  </si>
  <si>
    <t>Pipette tips</t>
  </si>
  <si>
    <t>Multiplex hrp2/3 assay (Grignard et al. EBM 2020)</t>
  </si>
  <si>
    <t>(Total, or 200uM each)</t>
  </si>
  <si>
    <r>
      <t xml:space="preserve">Protocol: Grignard et al. </t>
    </r>
    <r>
      <rPr>
        <b/>
        <i/>
        <sz val="16"/>
        <color theme="1"/>
        <rFont val="Calibri"/>
        <family val="2"/>
        <scheme val="minor"/>
      </rPr>
      <t xml:space="preserve">pfhrp2/3 </t>
    </r>
    <r>
      <rPr>
        <b/>
        <sz val="16"/>
        <color theme="1"/>
        <rFont val="Calibri"/>
        <family val="2"/>
        <scheme val="minor"/>
      </rPr>
      <t>multiplex real-time PCR assay</t>
    </r>
  </si>
  <si>
    <t>Version</t>
  </si>
  <si>
    <t>Date</t>
  </si>
  <si>
    <t>Authors</t>
  </si>
  <si>
    <t>Jonathan Parr, Kyaw Lay Thwai</t>
  </si>
  <si>
    <t>Jonathan Parr, Ashenafi Assefa</t>
  </si>
  <si>
    <t>Original protocol with input from Khalid Beshir.</t>
  </si>
  <si>
    <t>1.0</t>
  </si>
  <si>
    <t>Original protocol with additional QC, calling, and purchasing details.</t>
  </si>
  <si>
    <t>5’-AAGGAGGTCGATGAGCAGAT-3'</t>
  </si>
  <si>
    <t>5’-GCTGTCTTGACATTGTTGGG-3'</t>
  </si>
  <si>
    <t>5'-CY5-TTAACGTGCAGAACAAGAACAGCAGCT-BHQ2-3'</t>
  </si>
  <si>
    <r>
      <t xml:space="preserve">Notes: a) Because the pfldh probe and others sometimes give late amplification that we believe to be spurious, we restrict all positive calls to those with &lt;35 cycles. b) Any positive result occuring ≤15 cycles requires manual review.  These are almost universally </t>
    </r>
    <r>
      <rPr>
        <i/>
        <u/>
        <sz val="11"/>
        <color theme="1"/>
        <rFont val="Calibri (Body)"/>
      </rPr>
      <t>false positives</t>
    </r>
    <r>
      <rPr>
        <i/>
        <sz val="11"/>
        <color theme="1"/>
        <rFont val="Calibri"/>
        <family val="2"/>
        <scheme val="minor"/>
      </rPr>
      <t xml:space="preserve"> (in most cases, Ct &lt;15 corresponds to parasite densities that are not physiologically possible in human infection) and instead represent signal artifact that occurs commonly in many real-time PCR assays. c) To strengthen confidence in deletion calls, we often use a parasite density threshold of &gt;100 p/ul using pfldh qPCR data generated in a separate reaction. We sometimes also perform a final, additional single-target assay to confirm sufficient Pf DNA is present (e.g. Pf-B-tubulin -- see Parr JB et al. Malar J. 2018 10.1186/s12936-018-2287-4).</t>
    </r>
  </si>
  <si>
    <t>J Parr, KL Thwai, A Assefa, I Gerdes Gyuricza</t>
  </si>
  <si>
    <t>Additional calling annotation</t>
  </si>
  <si>
    <t>[recipient to source]</t>
  </si>
  <si>
    <t>11. Review all "manual review required" samples with Dr. Parr or another expert/trained lab member to make a consensus call.</t>
  </si>
  <si>
    <t>J Parr, KL Thwai, A Assefa</t>
  </si>
  <si>
    <t>Additional calling annotation (spurious amplification considerations, mixed infection calls)</t>
  </si>
  <si>
    <r>
      <rPr>
        <sz val="11"/>
        <color theme="1"/>
        <rFont val="Calibri"/>
        <family val="2"/>
        <scheme val="minor"/>
      </rPr>
      <t xml:space="preserve">6. Before looking at individual samples, look at all samples on the plate to identify and correct any spurious amplification (which can result in false-positive results). This can be done by highlighting all wells on the plate, then looking at each probe individually.  First, look at Texas Red (pfldh) only. Take note of any curves that are not sigmoidal in shape as expected with normal exponential amplification. Manually correct the Ct value as needed (typically changing to "NA") before making calls in steps 7-11.  Next, look at FAM (hrp2), and do the same thing. Finally, look at HEX (hrp3), and do the same thing.  </t>
    </r>
    <r>
      <rPr>
        <i/>
        <sz val="11"/>
        <color theme="1"/>
        <rFont val="Calibri"/>
        <family val="2"/>
        <scheme val="minor"/>
      </rPr>
      <t>It is not uncommon to observe 1-2 examples of spurious amplification on a plate that require manual correction.  Observing many (&gt;10) samples with spurious amplification usually means the entire plate needs to be repeated.</t>
    </r>
  </si>
  <si>
    <t>Annotation about calling (positives, mixed)</t>
  </si>
  <si>
    <r>
      <t>10. Focus on the HEX (hrp3) result.  If positive with Ct &lt;35, then call "</t>
    </r>
    <r>
      <rPr>
        <b/>
        <sz val="11"/>
        <color theme="1"/>
        <rFont val="Calibri"/>
        <family val="2"/>
        <scheme val="minor"/>
      </rPr>
      <t>hrp3 positive</t>
    </r>
    <r>
      <rPr>
        <sz val="11"/>
        <color theme="1"/>
        <rFont val="Calibri"/>
        <family val="2"/>
        <scheme val="minor"/>
      </rPr>
      <t>". If negative, then call "</t>
    </r>
    <r>
      <rPr>
        <b/>
        <sz val="11"/>
        <color theme="1"/>
        <rFont val="Calibri"/>
        <family val="2"/>
        <scheme val="minor"/>
      </rPr>
      <t>hrp3 deletion</t>
    </r>
    <r>
      <rPr>
        <sz val="11"/>
        <color theme="1"/>
        <rFont val="Calibri"/>
        <family val="2"/>
        <scheme val="minor"/>
      </rPr>
      <t xml:space="preserve">". </t>
    </r>
    <r>
      <rPr>
        <u/>
        <sz val="11"/>
        <color theme="1"/>
        <rFont val="Calibri (Body)"/>
      </rPr>
      <t>Note</t>
    </r>
    <r>
      <rPr>
        <sz val="11"/>
        <color theme="1"/>
        <rFont val="Calibri (Body)"/>
      </rPr>
      <t>: It is important to consider the following two scenarios for all samples: a)</t>
    </r>
    <r>
      <rPr>
        <sz val="11"/>
        <color theme="1"/>
        <rFont val="Calibri"/>
        <family val="2"/>
        <scheme val="minor"/>
      </rPr>
      <t xml:space="preserve"> If positive but Ct is between 35 and 40, then call "</t>
    </r>
    <r>
      <rPr>
        <b/>
        <sz val="11"/>
        <color theme="1"/>
        <rFont val="Calibri"/>
        <family val="2"/>
        <scheme val="minor"/>
      </rPr>
      <t>Possible hrp3 deletion - manual review required</t>
    </r>
    <r>
      <rPr>
        <sz val="11"/>
        <color theme="1"/>
        <rFont val="Calibri"/>
        <family val="2"/>
        <scheme val="minor"/>
      </rPr>
      <t>." b) If positive but &gt;3 cycles greater than Texas Red (pfldh) and Ct&lt;40, then call "</t>
    </r>
    <r>
      <rPr>
        <b/>
        <sz val="11"/>
        <color theme="1"/>
        <rFont val="Calibri"/>
        <family val="2"/>
        <scheme val="minor"/>
      </rPr>
      <t>Possible hrp3 deletion mixed infection - manual review required</t>
    </r>
    <r>
      <rPr>
        <sz val="11"/>
        <color theme="1"/>
        <rFont val="Calibri"/>
        <family val="2"/>
        <scheme val="minor"/>
      </rPr>
      <t xml:space="preserve">". (Any Ct values &gt;40 are considered negative and not evaluated for either scenario.) Proceed to step 11. </t>
    </r>
    <r>
      <rPr>
        <i/>
        <sz val="11"/>
        <color theme="1"/>
        <rFont val="Calibri"/>
        <family val="2"/>
        <scheme val="minor"/>
      </rPr>
      <t>Manual review requires looking at the amplification curves with an expert user to decide if a hrp3 deletion truly exists or if there is evidence of a mixed infection of deleted and wild-type strains. Examples: a) If the curves show appropriate amplification, pfldh Ct=34 and pfhrp3 Ct=35.5, then we would call this parasite hrp3+. b) If the curves show appropriate amplification, pfldh Ct=30 and pfhrp3 Ct=38, then we would call "hrp3 deletion mixed infection" because we see evidence of infection by two P. falciparum strains, one with hrp2 deletion and one with intact/wild-type hrp3.</t>
    </r>
  </si>
  <si>
    <r>
      <t>9. Focus on the FAM (hrp2) result.  If positive with Ct &lt;35, then call "</t>
    </r>
    <r>
      <rPr>
        <b/>
        <sz val="11"/>
        <color theme="1"/>
        <rFont val="Calibri"/>
        <family val="2"/>
        <scheme val="minor"/>
      </rPr>
      <t>hrp2 positive</t>
    </r>
    <r>
      <rPr>
        <sz val="11"/>
        <color theme="1"/>
        <rFont val="Calibri"/>
        <family val="2"/>
        <scheme val="minor"/>
      </rPr>
      <t>". If negative, then call "</t>
    </r>
    <r>
      <rPr>
        <b/>
        <sz val="11"/>
        <color theme="1"/>
        <rFont val="Calibri"/>
        <family val="2"/>
        <scheme val="minor"/>
      </rPr>
      <t>hrp2 deletion</t>
    </r>
    <r>
      <rPr>
        <sz val="11"/>
        <color theme="1"/>
        <rFont val="Calibri"/>
        <family val="2"/>
        <scheme val="minor"/>
      </rPr>
      <t xml:space="preserve">". </t>
    </r>
    <r>
      <rPr>
        <u/>
        <sz val="11"/>
        <color theme="1"/>
        <rFont val="Calibri (Body)"/>
      </rPr>
      <t>Note:</t>
    </r>
    <r>
      <rPr>
        <sz val="11"/>
        <color theme="1"/>
        <rFont val="Calibri (Body)"/>
      </rPr>
      <t xml:space="preserve"> It is important to consider the following two scenarios for all samples: </t>
    </r>
    <r>
      <rPr>
        <sz val="11"/>
        <color theme="1"/>
        <rFont val="Calibri"/>
        <family val="2"/>
        <scheme val="minor"/>
      </rPr>
      <t xml:space="preserve"> a) If positive but &gt;3 cycles greater than Texas Red (pfldh) and Ct &lt;40, then call "</t>
    </r>
    <r>
      <rPr>
        <b/>
        <sz val="11"/>
        <color theme="1"/>
        <rFont val="Calibri"/>
        <family val="2"/>
        <scheme val="minor"/>
      </rPr>
      <t>Possible hrp2 deletion mixed infection - manual review required</t>
    </r>
    <r>
      <rPr>
        <sz val="11"/>
        <color theme="1"/>
        <rFont val="Calibri"/>
        <family val="2"/>
        <scheme val="minor"/>
      </rPr>
      <t>". b) If positive but Ct is between 35 and 40, then call "</t>
    </r>
    <r>
      <rPr>
        <b/>
        <sz val="11"/>
        <color theme="1"/>
        <rFont val="Calibri"/>
        <family val="2"/>
        <scheme val="minor"/>
      </rPr>
      <t>Possible hrp2 deletion - manual review required.</t>
    </r>
    <r>
      <rPr>
        <sz val="11"/>
        <color theme="1"/>
        <rFont val="Calibri"/>
        <family val="2"/>
        <scheme val="minor"/>
      </rPr>
      <t xml:space="preserve">"  (Any Ct values &gt;40 are considered negative and not evaluated for either scenario.) Proceed to step 10. </t>
    </r>
    <r>
      <rPr>
        <i/>
        <sz val="11"/>
        <color theme="1"/>
        <rFont val="Calibri"/>
        <family val="2"/>
        <scheme val="minor"/>
      </rPr>
      <t>Manual review requires looking at the amplification curves with an expert user to decide if a hrp2 deletion truly exists or if there is evidence of a mixed infection of deleted and wild-type strains. Examples: a) If the curves show appropriate amplification, pfldh Ct=34 and pfhrp2 Ct=35.5, then we would call this parasite hrp2+. b) If the curves show appropriate amplification, pfldh Ct=30 and pfhrp2 Ct=38, then we would call "hrp2 deletion mixed infection" because we see evidence of infection by two P. falciparum strains, one with hrp2 deletion and one with intact/wild-type hrp2.</t>
    </r>
  </si>
  <si>
    <r>
      <t xml:space="preserve">7. Focus on the Cy5 (human B-tubulin) result. If positive, then proceed to step 8.  If negative, then call </t>
    </r>
    <r>
      <rPr>
        <b/>
        <sz val="11"/>
        <color theme="1"/>
        <rFont val="Calibri"/>
        <family val="2"/>
        <scheme val="minor"/>
      </rPr>
      <t>"Human DNA degraded - manual review required</t>
    </r>
    <r>
      <rPr>
        <sz val="11"/>
        <color theme="1"/>
        <rFont val="Calibri"/>
        <family val="2"/>
        <scheme val="minor"/>
      </rPr>
      <t xml:space="preserve">". Stop. </t>
    </r>
    <r>
      <rPr>
        <i/>
        <sz val="11"/>
        <color theme="1"/>
        <rFont val="Calibri"/>
        <family val="2"/>
        <scheme val="minor"/>
      </rPr>
      <t>(Exception: This step should be omitted if evaluating cultured parasites; these samples typically do not have human DNA).</t>
    </r>
  </si>
  <si>
    <r>
      <t>8. Focus on the Texas Red (pfldh) result.  If positive at ≤35 cycles, proceed to step 9.  If negative or &gt;35 cycles, then call "</t>
    </r>
    <r>
      <rPr>
        <b/>
        <sz val="11"/>
        <color theme="1"/>
        <rFont val="Calibri"/>
        <family val="2"/>
        <scheme val="minor"/>
      </rPr>
      <t>Invalid - insufficient parasite DNA</t>
    </r>
    <r>
      <rPr>
        <sz val="11"/>
        <color theme="1"/>
        <rFont val="Calibri"/>
        <family val="2"/>
        <scheme val="minor"/>
      </rPr>
      <t>". Stop.</t>
    </r>
  </si>
  <si>
    <t>Version 1.4 (July 18, 2025)</t>
  </si>
  <si>
    <t xml:space="preserve">[recipient to source]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</si>
</sst>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9" x14ac:knownFonts="1">
    <font>
      <sz val="11"/>
      <color theme="1"/>
      <name val="Calibri"/>
      <family val="2"/>
      <scheme val="minor"/>
    </font>
    <font>
      <sz val="11"/>
      <color theme="1"/>
      <name val="Calibri"/>
      <family val="2"/>
    </font>
    <font>
      <i/>
      <sz val="11"/>
      <color theme="1"/>
      <name val="Calibri"/>
      <family val="2"/>
      <scheme val="minor"/>
    </font>
    <font>
      <b/>
      <sz val="11"/>
      <color theme="1"/>
      <name val="Calibri"/>
      <family val="2"/>
      <scheme val="minor"/>
    </font>
    <font>
      <b/>
      <sz val="11"/>
      <color rgb="FF000000"/>
      <name val="Calibri"/>
      <family val="2"/>
    </font>
    <font>
      <b/>
      <sz val="12"/>
      <color rgb="FF000000"/>
      <name val="Calibri"/>
      <family val="2"/>
    </font>
    <font>
      <u/>
      <sz val="11"/>
      <color theme="10"/>
      <name val="Calibri"/>
      <family val="2"/>
      <scheme val="minor"/>
    </font>
    <font>
      <i/>
      <sz val="11"/>
      <color rgb="FF000000"/>
      <name val="Calibri"/>
      <family val="2"/>
    </font>
    <font>
      <b/>
      <i/>
      <sz val="11"/>
      <color rgb="FFAEAAAA"/>
      <name val="Calibri"/>
      <family val="2"/>
    </font>
    <font>
      <i/>
      <sz val="11"/>
      <color rgb="FFAEAAAA"/>
      <name val="Calibri"/>
      <family val="2"/>
    </font>
    <font>
      <sz val="11"/>
      <color rgb="FF000000"/>
      <name val="Calibri"/>
      <family val="2"/>
    </font>
    <font>
      <u/>
      <sz val="11"/>
      <color rgb="FF0563C1"/>
      <name val="Calibri"/>
      <family val="2"/>
    </font>
    <font>
      <sz val="11"/>
      <name val="Calibri"/>
      <family val="2"/>
    </font>
    <font>
      <b/>
      <sz val="16"/>
      <color theme="1"/>
      <name val="Calibri"/>
      <family val="2"/>
      <scheme val="minor"/>
    </font>
    <font>
      <b/>
      <i/>
      <sz val="16"/>
      <color theme="1"/>
      <name val="Calibri"/>
      <family val="2"/>
      <scheme val="minor"/>
    </font>
    <font>
      <sz val="16"/>
      <color theme="1"/>
      <name val="Calibri"/>
      <family val="2"/>
      <scheme val="minor"/>
    </font>
    <font>
      <i/>
      <u/>
      <sz val="11"/>
      <color theme="1"/>
      <name val="Calibri (Body)"/>
    </font>
    <font>
      <u/>
      <sz val="11"/>
      <color theme="1"/>
      <name val="Calibri (Body)"/>
    </font>
    <font>
      <sz val="11"/>
      <color theme="1"/>
      <name val="Calibri (Body)"/>
    </font>
  </fonts>
  <fills count="9">
    <fill>
      <patternFill patternType="none"/>
    </fill>
    <fill>
      <patternFill patternType="gray125"/>
    </fill>
    <fill>
      <patternFill patternType="solid">
        <fgColor theme="0" tint="-0.14999847407452621"/>
        <bgColor indexed="64"/>
      </patternFill>
    </fill>
    <fill>
      <patternFill patternType="solid">
        <fgColor theme="9" tint="0.59999389629810485"/>
        <bgColor indexed="64"/>
      </patternFill>
    </fill>
    <fill>
      <patternFill patternType="solid">
        <fgColor theme="8" tint="0.59999389629810485"/>
        <bgColor indexed="64"/>
      </patternFill>
    </fill>
    <fill>
      <patternFill patternType="solid">
        <fgColor rgb="FFD9D9D9"/>
        <bgColor rgb="FF000000"/>
      </patternFill>
    </fill>
    <fill>
      <patternFill patternType="solid">
        <fgColor rgb="FFFFC000"/>
        <bgColor rgb="FF000000"/>
      </patternFill>
    </fill>
    <fill>
      <patternFill patternType="solid">
        <fgColor rgb="FFFFFF00"/>
        <bgColor rgb="FF000000"/>
      </patternFill>
    </fill>
    <fill>
      <patternFill patternType="solid">
        <fgColor rgb="FFBDD7EE"/>
        <bgColor rgb="FF000000"/>
      </patternFill>
    </fill>
  </fills>
  <borders count="13">
    <border>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right style="thin">
        <color indexed="64"/>
      </right>
      <top/>
      <bottom/>
      <diagonal/>
    </border>
  </borders>
  <cellStyleXfs count="2">
    <xf numFmtId="0" fontId="0" fillId="0" borderId="0"/>
    <xf numFmtId="0" fontId="6" fillId="0" borderId="0" applyNumberFormat="0" applyFill="0" applyBorder="0" applyAlignment="0" applyProtection="0"/>
  </cellStyleXfs>
  <cellXfs count="85">
    <xf numFmtId="0" fontId="0" fillId="0" borderId="0" xfId="0"/>
    <xf numFmtId="0" fontId="0" fillId="0" borderId="1" xfId="0" applyBorder="1" applyAlignment="1">
      <alignment vertical="center"/>
    </xf>
    <xf numFmtId="0" fontId="0" fillId="0" borderId="1" xfId="0" applyBorder="1" applyAlignment="1">
      <alignment horizontal="left" vertical="center" indent="5"/>
    </xf>
    <xf numFmtId="0" fontId="0" fillId="0" borderId="1" xfId="0" applyBorder="1" applyAlignment="1">
      <alignment horizontal="left" vertical="center" wrapText="1" indent="5"/>
    </xf>
    <xf numFmtId="0" fontId="0" fillId="0" borderId="1" xfId="0" applyBorder="1" applyAlignment="1">
      <alignment vertical="center" wrapText="1"/>
    </xf>
    <xf numFmtId="0" fontId="0" fillId="0" borderId="0" xfId="0" applyAlignment="1">
      <alignment vertical="center"/>
    </xf>
    <xf numFmtId="0" fontId="0" fillId="0" borderId="0" xfId="0" applyAlignment="1">
      <alignment horizontal="left" vertical="center" indent="5"/>
    </xf>
    <xf numFmtId="0" fontId="0" fillId="0" borderId="0" xfId="0" applyAlignment="1">
      <alignment horizontal="left" vertical="center" wrapText="1" indent="5"/>
    </xf>
    <xf numFmtId="0" fontId="0" fillId="0" borderId="0" xfId="0" applyAlignment="1">
      <alignment vertical="center" wrapText="1"/>
    </xf>
    <xf numFmtId="0" fontId="0" fillId="0" borderId="1" xfId="0" applyBorder="1" applyAlignment="1">
      <alignment wrapText="1"/>
    </xf>
    <xf numFmtId="0" fontId="0" fillId="0" borderId="1" xfId="0" applyBorder="1"/>
    <xf numFmtId="0" fontId="3" fillId="3" borderId="1" xfId="0" applyFont="1" applyFill="1" applyBorder="1" applyAlignment="1">
      <alignment vertical="center"/>
    </xf>
    <xf numFmtId="0" fontId="3" fillId="4" borderId="1" xfId="0" applyFont="1" applyFill="1" applyBorder="1" applyAlignment="1">
      <alignment vertical="center" wrapText="1"/>
    </xf>
    <xf numFmtId="0" fontId="4" fillId="0" borderId="0" xfId="0" applyFont="1"/>
    <xf numFmtId="0" fontId="1" fillId="0" borderId="0" xfId="0" applyFont="1"/>
    <xf numFmtId="0" fontId="5" fillId="0" borderId="0" xfId="0" applyFont="1" applyAlignment="1">
      <alignment vertical="center"/>
    </xf>
    <xf numFmtId="0" fontId="1" fillId="0" borderId="1" xfId="0" applyFont="1" applyBorder="1"/>
    <xf numFmtId="164" fontId="1" fillId="0" borderId="0" xfId="0" applyNumberFormat="1" applyFont="1"/>
    <xf numFmtId="0" fontId="1" fillId="0" borderId="0" xfId="0" applyFont="1" applyAlignment="1">
      <alignment horizontal="center"/>
    </xf>
    <xf numFmtId="0" fontId="1" fillId="0" borderId="1" xfId="0" applyFont="1" applyBorder="1" applyAlignment="1">
      <alignment horizontal="center"/>
    </xf>
    <xf numFmtId="0" fontId="4" fillId="5" borderId="0" xfId="0" applyFont="1" applyFill="1"/>
    <xf numFmtId="0" fontId="1" fillId="6" borderId="0" xfId="0" applyFont="1" applyFill="1"/>
    <xf numFmtId="164" fontId="1" fillId="7" borderId="0" xfId="0" applyNumberFormat="1" applyFont="1" applyFill="1"/>
    <xf numFmtId="15" fontId="1" fillId="0" borderId="0" xfId="0" applyNumberFormat="1" applyFont="1" applyAlignment="1">
      <alignment horizontal="left"/>
    </xf>
    <xf numFmtId="0" fontId="1" fillId="0" borderId="0" xfId="0" applyFont="1" applyAlignment="1">
      <alignment horizontal="left"/>
    </xf>
    <xf numFmtId="0" fontId="4" fillId="0" borderId="0" xfId="0" applyFont="1" applyAlignment="1">
      <alignment horizontal="left"/>
    </xf>
    <xf numFmtId="0" fontId="4" fillId="0" borderId="2" xfId="0" applyFont="1" applyBorder="1" applyAlignment="1">
      <alignment wrapText="1"/>
    </xf>
    <xf numFmtId="0" fontId="4" fillId="8" borderId="2" xfId="0" applyFont="1" applyFill="1" applyBorder="1" applyAlignment="1">
      <alignment wrapText="1"/>
    </xf>
    <xf numFmtId="0" fontId="8" fillId="0" borderId="2" xfId="0" applyFont="1" applyBorder="1" applyAlignment="1">
      <alignment wrapText="1"/>
    </xf>
    <xf numFmtId="0" fontId="4" fillId="8" borderId="2" xfId="0" applyFont="1" applyFill="1" applyBorder="1" applyAlignment="1">
      <alignment horizontal="left" wrapText="1"/>
    </xf>
    <xf numFmtId="0" fontId="1" fillId="0" borderId="0" xfId="0" applyFont="1" applyAlignment="1">
      <alignment wrapText="1"/>
    </xf>
    <xf numFmtId="0" fontId="1" fillId="8" borderId="0" xfId="0" applyFont="1" applyFill="1"/>
    <xf numFmtId="0" fontId="9" fillId="0" borderId="0" xfId="0" applyFont="1"/>
    <xf numFmtId="0" fontId="10" fillId="8" borderId="0" xfId="0" applyFont="1" applyFill="1" applyAlignment="1">
      <alignment horizontal="left"/>
    </xf>
    <xf numFmtId="2" fontId="9" fillId="0" borderId="0" xfId="0" applyNumberFormat="1" applyFont="1"/>
    <xf numFmtId="0" fontId="1" fillId="8" borderId="0" xfId="0" applyFont="1" applyFill="1" applyAlignment="1">
      <alignment horizontal="right"/>
    </xf>
    <xf numFmtId="0" fontId="11" fillId="8" borderId="0" xfId="1" applyFont="1" applyFill="1" applyBorder="1"/>
    <xf numFmtId="0" fontId="1" fillId="8" borderId="0" xfId="0" applyFont="1" applyFill="1" applyAlignment="1">
      <alignment horizontal="left"/>
    </xf>
    <xf numFmtId="1" fontId="1" fillId="8" borderId="0" xfId="0" applyNumberFormat="1" applyFont="1" applyFill="1" applyAlignment="1">
      <alignment horizontal="right"/>
    </xf>
    <xf numFmtId="0" fontId="10" fillId="8" borderId="0" xfId="0" applyFont="1" applyFill="1"/>
    <xf numFmtId="0" fontId="1" fillId="7" borderId="0" xfId="0" applyFont="1" applyFill="1"/>
    <xf numFmtId="0" fontId="1" fillId="7" borderId="0" xfId="0" applyFont="1" applyFill="1" applyAlignment="1">
      <alignment horizontal="left"/>
    </xf>
    <xf numFmtId="0" fontId="1" fillId="7" borderId="0" xfId="0" applyFont="1" applyFill="1" applyAlignment="1">
      <alignment horizontal="right"/>
    </xf>
    <xf numFmtId="0" fontId="1" fillId="0" borderId="3" xfId="0" applyFont="1" applyBorder="1"/>
    <xf numFmtId="0" fontId="1" fillId="7" borderId="3" xfId="0" applyFont="1" applyFill="1" applyBorder="1"/>
    <xf numFmtId="0" fontId="9" fillId="0" borderId="3" xfId="0" applyFont="1" applyBorder="1"/>
    <xf numFmtId="0" fontId="1" fillId="7" borderId="3" xfId="0" applyFont="1" applyFill="1" applyBorder="1" applyAlignment="1">
      <alignment horizontal="left"/>
    </xf>
    <xf numFmtId="2" fontId="9" fillId="0" borderId="3" xfId="0" applyNumberFormat="1" applyFont="1" applyBorder="1"/>
    <xf numFmtId="0" fontId="1" fillId="7" borderId="3" xfId="0" applyFont="1" applyFill="1" applyBorder="1" applyAlignment="1">
      <alignment horizontal="right"/>
    </xf>
    <xf numFmtId="0" fontId="4" fillId="0" borderId="0" xfId="0" applyFont="1" applyAlignment="1">
      <alignment horizontal="right"/>
    </xf>
    <xf numFmtId="0" fontId="12" fillId="0" borderId="0" xfId="0" applyFont="1"/>
    <xf numFmtId="0" fontId="0" fillId="0" borderId="5" xfId="0" applyBorder="1"/>
    <xf numFmtId="0" fontId="0" fillId="0" borderId="6" xfId="0" applyBorder="1"/>
    <xf numFmtId="0" fontId="0" fillId="0" borderId="7" xfId="0" applyBorder="1"/>
    <xf numFmtId="0" fontId="0" fillId="0" borderId="3" xfId="0" applyBorder="1"/>
    <xf numFmtId="0" fontId="0" fillId="0" borderId="8" xfId="0" applyBorder="1"/>
    <xf numFmtId="0" fontId="0" fillId="0" borderId="5" xfId="0" applyBorder="1" applyAlignment="1">
      <alignment horizontal="left"/>
    </xf>
    <xf numFmtId="0" fontId="3" fillId="2" borderId="4" xfId="0" applyFont="1" applyFill="1" applyBorder="1"/>
    <xf numFmtId="0" fontId="3" fillId="2" borderId="5" xfId="0" applyFont="1" applyFill="1" applyBorder="1"/>
    <xf numFmtId="0" fontId="3" fillId="2" borderId="6" xfId="0" applyFont="1" applyFill="1" applyBorder="1"/>
    <xf numFmtId="0" fontId="2" fillId="0" borderId="1" xfId="0" applyFont="1" applyBorder="1" applyAlignment="1">
      <alignment horizontal="left" vertical="center" wrapText="1" indent="5"/>
    </xf>
    <xf numFmtId="0" fontId="0" fillId="0" borderId="2" xfId="0" applyBorder="1" applyAlignment="1">
      <alignment horizontal="left"/>
    </xf>
    <xf numFmtId="0" fontId="0" fillId="0" borderId="10" xfId="0" applyBorder="1" applyAlignment="1">
      <alignment horizontal="left"/>
    </xf>
    <xf numFmtId="0" fontId="0" fillId="0" borderId="6" xfId="0" applyBorder="1" applyAlignment="1">
      <alignment horizontal="left"/>
    </xf>
    <xf numFmtId="0" fontId="0" fillId="0" borderId="4" xfId="0" applyBorder="1"/>
    <xf numFmtId="0" fontId="0" fillId="0" borderId="11" xfId="0" applyBorder="1"/>
    <xf numFmtId="0" fontId="0" fillId="0" borderId="12" xfId="0" applyBorder="1"/>
    <xf numFmtId="0" fontId="0" fillId="0" borderId="9" xfId="0" quotePrefix="1" applyBorder="1" applyAlignment="1">
      <alignment horizontal="left" wrapText="1"/>
    </xf>
    <xf numFmtId="15" fontId="0" fillId="0" borderId="2" xfId="0" applyNumberFormat="1" applyBorder="1" applyAlignment="1">
      <alignment horizontal="left" wrapText="1"/>
    </xf>
    <xf numFmtId="0" fontId="0" fillId="0" borderId="2" xfId="0" applyBorder="1" applyAlignment="1">
      <alignment horizontal="left" wrapText="1"/>
    </xf>
    <xf numFmtId="0" fontId="0" fillId="0" borderId="10" xfId="0" applyBorder="1" applyAlignment="1">
      <alignment horizontal="left" wrapText="1"/>
    </xf>
    <xf numFmtId="0" fontId="0" fillId="0" borderId="4" xfId="0" applyBorder="1" applyAlignment="1">
      <alignment horizontal="left" wrapText="1"/>
    </xf>
    <xf numFmtId="15" fontId="0" fillId="0" borderId="5" xfId="0" applyNumberFormat="1" applyBorder="1" applyAlignment="1">
      <alignment horizontal="left" wrapText="1"/>
    </xf>
    <xf numFmtId="0" fontId="0" fillId="0" borderId="5" xfId="0" applyBorder="1" applyAlignment="1">
      <alignment horizontal="left" wrapText="1"/>
    </xf>
    <xf numFmtId="0" fontId="0" fillId="0" borderId="9" xfId="0" applyBorder="1" applyAlignment="1">
      <alignment horizontal="left" wrapText="1"/>
    </xf>
    <xf numFmtId="0" fontId="0" fillId="0" borderId="7" xfId="0" applyBorder="1" applyAlignment="1">
      <alignment horizontal="left" wrapText="1"/>
    </xf>
    <xf numFmtId="0" fontId="0" fillId="0" borderId="3" xfId="0" applyBorder="1" applyAlignment="1">
      <alignment horizontal="left" wrapText="1"/>
    </xf>
    <xf numFmtId="0" fontId="0" fillId="0" borderId="8" xfId="0" applyBorder="1" applyAlignment="1">
      <alignment horizontal="left" wrapText="1"/>
    </xf>
    <xf numFmtId="0" fontId="2" fillId="0" borderId="1" xfId="0" quotePrefix="1" applyFont="1" applyBorder="1" applyAlignment="1">
      <alignment horizontal="left" vertical="center" wrapText="1"/>
    </xf>
    <xf numFmtId="0" fontId="13" fillId="0" borderId="0" xfId="0" applyFont="1" applyAlignment="1">
      <alignment horizontal="center"/>
    </xf>
    <xf numFmtId="0" fontId="15" fillId="0" borderId="0" xfId="0" applyFont="1" applyAlignment="1">
      <alignment horizontal="center"/>
    </xf>
    <xf numFmtId="0" fontId="0" fillId="0" borderId="2" xfId="0" applyBorder="1" applyAlignment="1">
      <alignment horizontal="left" wrapText="1"/>
    </xf>
    <xf numFmtId="0" fontId="0" fillId="0" borderId="10" xfId="0" applyBorder="1" applyAlignment="1">
      <alignment horizontal="left" wrapText="1"/>
    </xf>
    <xf numFmtId="0" fontId="4" fillId="0" borderId="1" xfId="0" applyFont="1" applyBorder="1" applyAlignment="1">
      <alignment horizontal="center"/>
    </xf>
    <xf numFmtId="0" fontId="1" fillId="0" borderId="1"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1.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microsoft.com/office/2017/10/relationships/person" Target="persons/person.xml"/></Relationships>
</file>

<file path=xl/drawings/_rels/drawing1.xml.rels><?xml version="1.0" encoding="UTF-8" standalone="yes"?>
<Relationships xmlns="http://schemas.openxmlformats.org/package/2006/relationships"><Relationship Id="rId2" Type="http://schemas.openxmlformats.org/officeDocument/2006/relationships/image" Target="../media/image2.emf"/><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139700</xdr:colOff>
      <xdr:row>1</xdr:row>
      <xdr:rowOff>101600</xdr:rowOff>
    </xdr:from>
    <xdr:to>
      <xdr:col>4</xdr:col>
      <xdr:colOff>1199982</xdr:colOff>
      <xdr:row>5</xdr:row>
      <xdr:rowOff>88900</xdr:rowOff>
    </xdr:to>
    <xdr:pic>
      <xdr:nvPicPr>
        <xdr:cNvPr id="2" name="Picture 1">
          <a:extLst>
            <a:ext uri="{FF2B5EF4-FFF2-40B4-BE49-F238E27FC236}">
              <a16:creationId xmlns:a16="http://schemas.microsoft.com/office/drawing/2014/main" id="{24C05043-F324-EE46-BDF4-BEF8D823415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39700" y="292100"/>
          <a:ext cx="2711282" cy="749300"/>
        </a:xfrm>
        <a:prstGeom prst="rect">
          <a:avLst/>
        </a:prstGeom>
      </xdr:spPr>
    </xdr:pic>
    <xdr:clientData/>
  </xdr:twoCellAnchor>
  <xdr:twoCellAnchor editAs="oneCell">
    <xdr:from>
      <xdr:col>7</xdr:col>
      <xdr:colOff>292100</xdr:colOff>
      <xdr:row>1</xdr:row>
      <xdr:rowOff>63502</xdr:rowOff>
    </xdr:from>
    <xdr:to>
      <xdr:col>8</xdr:col>
      <xdr:colOff>1473200</xdr:colOff>
      <xdr:row>6</xdr:row>
      <xdr:rowOff>16760</xdr:rowOff>
    </xdr:to>
    <xdr:pic>
      <xdr:nvPicPr>
        <xdr:cNvPr id="8" name="Picture 7">
          <a:extLst>
            <a:ext uri="{FF2B5EF4-FFF2-40B4-BE49-F238E27FC236}">
              <a16:creationId xmlns:a16="http://schemas.microsoft.com/office/drawing/2014/main" id="{7E5640BC-F2ED-9944-DA3B-8EDBA2BE6A4C}"/>
            </a:ext>
          </a:extLst>
        </xdr:cNvPr>
        <xdr:cNvPicPr>
          <a:picLocks noChangeAspect="1"/>
        </xdr:cNvPicPr>
      </xdr:nvPicPr>
      <xdr:blipFill rotWithShape="1">
        <a:blip xmlns:r="http://schemas.openxmlformats.org/officeDocument/2006/relationships" r:embed="rId2"/>
        <a:srcRect l="3268" t="5882" r="2615" b="9150"/>
        <a:stretch/>
      </xdr:blipFill>
      <xdr:spPr>
        <a:xfrm>
          <a:off x="5689600" y="254002"/>
          <a:ext cx="2006600" cy="905758"/>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Bahita, Ashenafi Assefa" id="{C56209D1-6383-BE44-80DE-3E1612081024}" userId="S::ashenafi@ad.unc.edu::74c66611-e992-4934-955c-492727f6a37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G21" dT="2021-12-20T17:55:52.97" personId="{C56209D1-6383-BE44-80DE-3E1612081024}" id="{6DC62B07-E6A7-6849-8D47-E75BA2B9845D}">
    <text>Assume a separate assay for pfb_tublin</text>
  </threadedComment>
  <threadedComment ref="G22" dT="2021-12-20T17:56:01.41" personId="{C56209D1-6383-BE44-80DE-3E1612081024}" id="{AE07E2EB-D187-9842-B273-23EDD1934199}">
    <text>Assume a separate assay for pfb_tublin</text>
  </threadedComment>
  <threadedComment ref="G23" dT="2021-12-20T17:56:11.83" personId="{C56209D1-6383-BE44-80DE-3E1612081024}" id="{295DD87E-3E51-7544-8446-248E059132D8}">
    <text>Assume a separate assay for pfb_tublin</text>
  </threadedComment>
</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8" Type="http://schemas.openxmlformats.org/officeDocument/2006/relationships/hyperlink" Target="https://www.fishersci.com/shop/products/eppendorf-twin-tec-96-lobind-pcr-plates-1/E0030129504?searchHijack=true&amp;searchTerm=0030129.504&amp;searchType=RAPID&amp;matchedCatNo=0030129.504" TargetMode="External"/><Relationship Id="rId13" Type="http://schemas.openxmlformats.org/officeDocument/2006/relationships/hyperlink" Target="https://www.fishersci.com/shop/products/applied-biosystems-microamp-optical-96-well-reaction-plate-barcode-4/4306737?searchHijack=true&amp;searchTerm=43-067-37&amp;searchType=RAPID&amp;matchedCatNo=43-067-37" TargetMode="External"/><Relationship Id="rId3" Type="http://schemas.openxmlformats.org/officeDocument/2006/relationships/hyperlink" Target="https://www.nibsc.org/products/brm_product_catalogue/detail_page.aspx?catid=04/176" TargetMode="External"/><Relationship Id="rId7" Type="http://schemas.openxmlformats.org/officeDocument/2006/relationships/hyperlink" Target="https://www.thermofisher.com/order/catalog/product/4311971" TargetMode="External"/><Relationship Id="rId12" Type="http://schemas.openxmlformats.org/officeDocument/2006/relationships/hyperlink" Target="https://www.thomassci.com/Chemicals/PCR-Reagents/_/BIOTAQ-DNA-Polymerase" TargetMode="External"/><Relationship Id="rId2" Type="http://schemas.openxmlformats.org/officeDocument/2006/relationships/hyperlink" Target="https://www.thomassci.com/Molecular-Diagnostics/Amplification/dNTP/_/dNTP-Mix?q=BIO-39053" TargetMode="External"/><Relationship Id="rId16" Type="http://schemas.microsoft.com/office/2017/10/relationships/threadedComment" Target="../threadedComments/threadedComment1.xml"/><Relationship Id="rId1" Type="http://schemas.openxmlformats.org/officeDocument/2006/relationships/hyperlink" Target="https://www.sigmaaldrich.com/US/en/product/roche/fsusgmmro" TargetMode="External"/><Relationship Id="rId6" Type="http://schemas.openxmlformats.org/officeDocument/2006/relationships/hyperlink" Target="https://www.beiresources.org/Catalog/BEINucleicAcids/MRA-102G.aspx" TargetMode="External"/><Relationship Id="rId11" Type="http://schemas.openxmlformats.org/officeDocument/2006/relationships/hyperlink" Target="https://www.thomassci.com/Chemicals/PCR-Reagents/_/BIOTAQ-DNA-Polymerase" TargetMode="External"/><Relationship Id="rId5" Type="http://schemas.openxmlformats.org/officeDocument/2006/relationships/hyperlink" Target="https://www.beiresources.org/Catalog/BEINucleicAcids/MRA-155G.aspx" TargetMode="External"/><Relationship Id="rId15" Type="http://schemas.openxmlformats.org/officeDocument/2006/relationships/comments" Target="../comments1.xml"/><Relationship Id="rId10" Type="http://schemas.openxmlformats.org/officeDocument/2006/relationships/hyperlink" Target="https://www.thomassci.com/Chemicals/PCR-Reagents/_/BIOTAQ-DNA-Polymerase" TargetMode="External"/><Relationship Id="rId4" Type="http://schemas.openxmlformats.org/officeDocument/2006/relationships/hyperlink" Target="https://www.beiresources.org/Catalog/BEINucleicAcids/MRA-150G.aspx" TargetMode="External"/><Relationship Id="rId9" Type="http://schemas.openxmlformats.org/officeDocument/2006/relationships/hyperlink" Target="https://geneseesci.com/shop-online/product-details/12-156/extreme-foilseal" TargetMode="External"/><Relationship Id="rId14"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FA5C9E-9BCC-BA4C-8F6B-F44C3E9492E5}">
  <dimension ref="B2:J41"/>
  <sheetViews>
    <sheetView showGridLines="0" tabSelected="1" workbookViewId="0"/>
  </sheetViews>
  <sheetFormatPr baseColWidth="10" defaultRowHeight="15" x14ac:dyDescent="0.2"/>
  <cols>
    <col min="1" max="1" width="1.6640625" customWidth="1"/>
    <col min="2" max="2" width="2.1640625" customWidth="1"/>
    <col min="5" max="5" width="27.5" customWidth="1"/>
    <col min="9" max="9" width="19.6640625" customWidth="1"/>
    <col min="10" max="10" width="2" customWidth="1"/>
  </cols>
  <sheetData>
    <row r="2" spans="2:10" x14ac:dyDescent="0.2">
      <c r="B2" s="64"/>
      <c r="C2" s="51"/>
      <c r="D2" s="51"/>
      <c r="E2" s="51"/>
      <c r="F2" s="51"/>
      <c r="G2" s="51"/>
      <c r="H2" s="51"/>
      <c r="I2" s="51"/>
      <c r="J2" s="52"/>
    </row>
    <row r="3" spans="2:10" x14ac:dyDescent="0.2">
      <c r="B3" s="65"/>
      <c r="J3" s="66"/>
    </row>
    <row r="4" spans="2:10" x14ac:dyDescent="0.2">
      <c r="B4" s="65"/>
      <c r="J4" s="66"/>
    </row>
    <row r="5" spans="2:10" x14ac:dyDescent="0.2">
      <c r="B5" s="65"/>
      <c r="J5" s="66"/>
    </row>
    <row r="6" spans="2:10" x14ac:dyDescent="0.2">
      <c r="B6" s="65"/>
      <c r="J6" s="66"/>
    </row>
    <row r="7" spans="2:10" x14ac:dyDescent="0.2">
      <c r="B7" s="65"/>
      <c r="J7" s="66"/>
    </row>
    <row r="8" spans="2:10" x14ac:dyDescent="0.2">
      <c r="B8" s="65"/>
      <c r="J8" s="66"/>
    </row>
    <row r="9" spans="2:10" ht="21" x14ac:dyDescent="0.25">
      <c r="B9" s="65"/>
      <c r="C9" s="79" t="s">
        <v>206</v>
      </c>
      <c r="D9" s="79"/>
      <c r="E9" s="79"/>
      <c r="F9" s="79"/>
      <c r="G9" s="79"/>
      <c r="H9" s="79"/>
      <c r="I9" s="79"/>
      <c r="J9" s="66"/>
    </row>
    <row r="10" spans="2:10" ht="21" x14ac:dyDescent="0.25">
      <c r="B10" s="65"/>
      <c r="C10" s="80" t="s">
        <v>231</v>
      </c>
      <c r="D10" s="80"/>
      <c r="E10" s="80"/>
      <c r="F10" s="80"/>
      <c r="G10" s="80"/>
      <c r="H10" s="80"/>
      <c r="I10" s="80"/>
      <c r="J10" s="66"/>
    </row>
    <row r="11" spans="2:10" x14ac:dyDescent="0.2">
      <c r="B11" s="65"/>
      <c r="J11" s="66"/>
    </row>
    <row r="12" spans="2:10" x14ac:dyDescent="0.2">
      <c r="B12" s="65"/>
      <c r="C12" s="57" t="s">
        <v>207</v>
      </c>
      <c r="D12" s="58" t="s">
        <v>208</v>
      </c>
      <c r="E12" s="58" t="s">
        <v>209</v>
      </c>
      <c r="F12" s="58" t="s">
        <v>100</v>
      </c>
      <c r="G12" s="58"/>
      <c r="H12" s="58"/>
      <c r="I12" s="59"/>
      <c r="J12" s="66"/>
    </row>
    <row r="13" spans="2:10" ht="16" x14ac:dyDescent="0.2">
      <c r="B13" s="65"/>
      <c r="C13" s="67" t="s">
        <v>213</v>
      </c>
      <c r="D13" s="68">
        <v>44532</v>
      </c>
      <c r="E13" s="69" t="s">
        <v>211</v>
      </c>
      <c r="F13" s="61" t="s">
        <v>212</v>
      </c>
      <c r="G13" s="61"/>
      <c r="H13" s="61"/>
      <c r="I13" s="62"/>
      <c r="J13" s="66"/>
    </row>
    <row r="14" spans="2:10" ht="16" x14ac:dyDescent="0.2">
      <c r="B14" s="65"/>
      <c r="C14" s="71">
        <v>1.1000000000000001</v>
      </c>
      <c r="D14" s="72">
        <v>45735</v>
      </c>
      <c r="E14" s="73" t="s">
        <v>210</v>
      </c>
      <c r="F14" s="56" t="s">
        <v>214</v>
      </c>
      <c r="G14" s="56"/>
      <c r="H14" s="56"/>
      <c r="I14" s="63"/>
      <c r="J14" s="66"/>
    </row>
    <row r="15" spans="2:10" ht="32" x14ac:dyDescent="0.2">
      <c r="B15" s="65"/>
      <c r="C15" s="74">
        <v>1.2</v>
      </c>
      <c r="D15" s="68">
        <v>45736</v>
      </c>
      <c r="E15" s="69" t="s">
        <v>219</v>
      </c>
      <c r="F15" s="61" t="s">
        <v>220</v>
      </c>
      <c r="G15" s="61"/>
      <c r="H15" s="61"/>
      <c r="I15" s="62"/>
      <c r="J15" s="66"/>
    </row>
    <row r="16" spans="2:10" ht="32" customHeight="1" x14ac:dyDescent="0.2">
      <c r="B16" s="65"/>
      <c r="C16" s="74">
        <v>1.3</v>
      </c>
      <c r="D16" s="68">
        <v>45835</v>
      </c>
      <c r="E16" s="69" t="s">
        <v>223</v>
      </c>
      <c r="F16" s="81" t="s">
        <v>224</v>
      </c>
      <c r="G16" s="81"/>
      <c r="H16" s="81"/>
      <c r="I16" s="82"/>
      <c r="J16" s="66"/>
    </row>
    <row r="17" spans="2:10" ht="16" x14ac:dyDescent="0.2">
      <c r="B17" s="65"/>
      <c r="C17" s="74">
        <v>1.4</v>
      </c>
      <c r="D17" s="68">
        <v>45856</v>
      </c>
      <c r="E17" s="69" t="s">
        <v>223</v>
      </c>
      <c r="F17" s="61" t="s">
        <v>226</v>
      </c>
      <c r="G17" s="69"/>
      <c r="H17" s="69"/>
      <c r="I17" s="70"/>
      <c r="J17" s="66"/>
    </row>
    <row r="18" spans="2:10" x14ac:dyDescent="0.2">
      <c r="B18" s="65"/>
      <c r="C18" s="74"/>
      <c r="D18" s="69"/>
      <c r="E18" s="69"/>
      <c r="F18" s="69"/>
      <c r="G18" s="69"/>
      <c r="H18" s="69"/>
      <c r="I18" s="70"/>
      <c r="J18" s="66"/>
    </row>
    <row r="19" spans="2:10" x14ac:dyDescent="0.2">
      <c r="B19" s="65"/>
      <c r="C19" s="75"/>
      <c r="D19" s="76"/>
      <c r="E19" s="76"/>
      <c r="F19" s="76"/>
      <c r="G19" s="76"/>
      <c r="H19" s="76"/>
      <c r="I19" s="77"/>
      <c r="J19" s="66"/>
    </row>
    <row r="20" spans="2:10" x14ac:dyDescent="0.2">
      <c r="B20" s="65"/>
      <c r="J20" s="66"/>
    </row>
    <row r="21" spans="2:10" x14ac:dyDescent="0.2">
      <c r="B21" s="65"/>
      <c r="J21" s="66"/>
    </row>
    <row r="22" spans="2:10" x14ac:dyDescent="0.2">
      <c r="B22" s="65"/>
      <c r="J22" s="66"/>
    </row>
    <row r="23" spans="2:10" x14ac:dyDescent="0.2">
      <c r="B23" s="65"/>
      <c r="J23" s="66"/>
    </row>
    <row r="24" spans="2:10" x14ac:dyDescent="0.2">
      <c r="B24" s="65"/>
      <c r="J24" s="66"/>
    </row>
    <row r="25" spans="2:10" x14ac:dyDescent="0.2">
      <c r="B25" s="65"/>
      <c r="J25" s="66"/>
    </row>
    <row r="26" spans="2:10" x14ac:dyDescent="0.2">
      <c r="B26" s="65"/>
      <c r="J26" s="66"/>
    </row>
    <row r="27" spans="2:10" x14ac:dyDescent="0.2">
      <c r="B27" s="65"/>
      <c r="J27" s="66"/>
    </row>
    <row r="28" spans="2:10" x14ac:dyDescent="0.2">
      <c r="B28" s="65"/>
      <c r="J28" s="66"/>
    </row>
    <row r="29" spans="2:10" x14ac:dyDescent="0.2">
      <c r="B29" s="65"/>
      <c r="J29" s="66"/>
    </row>
    <row r="30" spans="2:10" x14ac:dyDescent="0.2">
      <c r="B30" s="65"/>
      <c r="J30" s="66"/>
    </row>
    <row r="31" spans="2:10" x14ac:dyDescent="0.2">
      <c r="B31" s="65"/>
      <c r="J31" s="66"/>
    </row>
    <row r="32" spans="2:10" x14ac:dyDescent="0.2">
      <c r="B32" s="65"/>
      <c r="J32" s="66"/>
    </row>
    <row r="33" spans="2:10" x14ac:dyDescent="0.2">
      <c r="B33" s="65"/>
      <c r="J33" s="66"/>
    </row>
    <row r="34" spans="2:10" x14ac:dyDescent="0.2">
      <c r="B34" s="65"/>
      <c r="J34" s="66"/>
    </row>
    <row r="35" spans="2:10" x14ac:dyDescent="0.2">
      <c r="B35" s="65"/>
      <c r="J35" s="66"/>
    </row>
    <row r="36" spans="2:10" x14ac:dyDescent="0.2">
      <c r="B36" s="65"/>
      <c r="J36" s="66"/>
    </row>
    <row r="37" spans="2:10" x14ac:dyDescent="0.2">
      <c r="B37" s="65"/>
      <c r="J37" s="66"/>
    </row>
    <row r="38" spans="2:10" x14ac:dyDescent="0.2">
      <c r="B38" s="65"/>
      <c r="J38" s="66"/>
    </row>
    <row r="39" spans="2:10" x14ac:dyDescent="0.2">
      <c r="B39" s="65"/>
      <c r="J39" s="66"/>
    </row>
    <row r="40" spans="2:10" x14ac:dyDescent="0.2">
      <c r="B40" s="65"/>
      <c r="J40" s="66"/>
    </row>
    <row r="41" spans="2:10" x14ac:dyDescent="0.2">
      <c r="B41" s="53"/>
      <c r="C41" s="54"/>
      <c r="D41" s="54"/>
      <c r="E41" s="54"/>
      <c r="F41" s="54"/>
      <c r="G41" s="54"/>
      <c r="H41" s="54"/>
      <c r="I41" s="54"/>
      <c r="J41" s="55"/>
    </row>
  </sheetData>
  <mergeCells count="3">
    <mergeCell ref="C9:I9"/>
    <mergeCell ref="C10:I10"/>
    <mergeCell ref="F16:I16"/>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DDBBE3-6098-7D4E-9727-60E145FD1125}">
  <dimension ref="A1:K21"/>
  <sheetViews>
    <sheetView workbookViewId="0"/>
  </sheetViews>
  <sheetFormatPr baseColWidth="10" defaultColWidth="8.83203125" defaultRowHeight="15" x14ac:dyDescent="0.2"/>
  <cols>
    <col min="1" max="1" width="24.83203125" style="14" bestFit="1" customWidth="1"/>
    <col min="2" max="2" width="6.5" style="14" bestFit="1" customWidth="1"/>
    <col min="3" max="3" width="18.6640625" style="14" bestFit="1" customWidth="1"/>
    <col min="4" max="4" width="6.5" style="14" bestFit="1" customWidth="1"/>
    <col min="5" max="5" width="8.83203125" style="14"/>
    <col min="6" max="6" width="17.33203125" style="14" bestFit="1" customWidth="1"/>
    <col min="7" max="9" width="8.83203125" style="14"/>
    <col min="10" max="10" width="16.6640625" style="14" bestFit="1" customWidth="1"/>
    <col min="11" max="11" width="57.5" style="14" bestFit="1" customWidth="1"/>
    <col min="12" max="16384" width="8.83203125" style="14"/>
  </cols>
  <sheetData>
    <row r="1" spans="1:11" ht="16" x14ac:dyDescent="0.2">
      <c r="A1" s="13" t="s">
        <v>204</v>
      </c>
      <c r="F1" s="83" t="s">
        <v>12</v>
      </c>
      <c r="G1" s="83"/>
      <c r="H1" s="83"/>
      <c r="J1" s="15" t="s">
        <v>13</v>
      </c>
    </row>
    <row r="2" spans="1:11" ht="16" x14ac:dyDescent="0.2">
      <c r="B2" s="14" t="s">
        <v>14</v>
      </c>
      <c r="C2" s="14" t="s">
        <v>15</v>
      </c>
      <c r="F2" s="16" t="s">
        <v>16</v>
      </c>
      <c r="G2" s="16" t="s">
        <v>17</v>
      </c>
      <c r="H2" s="16" t="s">
        <v>18</v>
      </c>
      <c r="J2" s="15" t="s">
        <v>19</v>
      </c>
      <c r="K2" s="14" t="s">
        <v>20</v>
      </c>
    </row>
    <row r="3" spans="1:11" ht="16" x14ac:dyDescent="0.2">
      <c r="A3" s="13" t="s">
        <v>21</v>
      </c>
      <c r="B3" s="17">
        <v>0.12</v>
      </c>
      <c r="C3" s="18" t="s">
        <v>22</v>
      </c>
      <c r="F3" s="19">
        <v>1</v>
      </c>
      <c r="G3" s="16" t="s">
        <v>23</v>
      </c>
      <c r="H3" s="16" t="s">
        <v>24</v>
      </c>
      <c r="J3" s="15" t="s">
        <v>25</v>
      </c>
      <c r="K3" s="14" t="s">
        <v>26</v>
      </c>
    </row>
    <row r="4" spans="1:11" ht="16" x14ac:dyDescent="0.2">
      <c r="A4" s="13" t="s">
        <v>27</v>
      </c>
      <c r="B4" s="17">
        <v>0.12</v>
      </c>
      <c r="C4" s="18" t="s">
        <v>22</v>
      </c>
      <c r="F4" s="84">
        <v>45</v>
      </c>
      <c r="G4" s="16" t="s">
        <v>23</v>
      </c>
      <c r="H4" s="16" t="s">
        <v>28</v>
      </c>
      <c r="J4" s="15" t="s">
        <v>29</v>
      </c>
      <c r="K4" s="14" t="s">
        <v>30</v>
      </c>
    </row>
    <row r="5" spans="1:11" x14ac:dyDescent="0.2">
      <c r="A5" s="13" t="s">
        <v>31</v>
      </c>
      <c r="B5" s="17">
        <v>0.12</v>
      </c>
      <c r="C5" s="18" t="s">
        <v>32</v>
      </c>
      <c r="D5" s="14" t="s">
        <v>33</v>
      </c>
      <c r="F5" s="84"/>
      <c r="G5" s="16" t="s">
        <v>34</v>
      </c>
      <c r="H5" s="16" t="s">
        <v>35</v>
      </c>
    </row>
    <row r="6" spans="1:11" ht="16" x14ac:dyDescent="0.2">
      <c r="A6" s="13" t="s">
        <v>36</v>
      </c>
      <c r="B6" s="17">
        <v>0.12</v>
      </c>
      <c r="C6" s="18" t="s">
        <v>22</v>
      </c>
      <c r="F6" s="84"/>
      <c r="G6" s="16" t="s">
        <v>37</v>
      </c>
      <c r="H6" s="16" t="s">
        <v>35</v>
      </c>
      <c r="J6" s="15" t="s">
        <v>38</v>
      </c>
      <c r="K6" s="14" t="s">
        <v>39</v>
      </c>
    </row>
    <row r="7" spans="1:11" ht="16" x14ac:dyDescent="0.2">
      <c r="A7" s="13" t="s">
        <v>40</v>
      </c>
      <c r="B7" s="17">
        <v>0.12</v>
      </c>
      <c r="C7" s="18" t="s">
        <v>22</v>
      </c>
      <c r="J7" s="15" t="s">
        <v>41</v>
      </c>
      <c r="K7" s="14" t="s">
        <v>42</v>
      </c>
    </row>
    <row r="8" spans="1:11" ht="16" x14ac:dyDescent="0.2">
      <c r="A8" s="13" t="s">
        <v>43</v>
      </c>
      <c r="B8" s="17">
        <v>0.12</v>
      </c>
      <c r="C8" s="18" t="s">
        <v>32</v>
      </c>
      <c r="D8" s="14" t="s">
        <v>44</v>
      </c>
      <c r="J8" s="15" t="s">
        <v>45</v>
      </c>
      <c r="K8" s="14" t="s">
        <v>46</v>
      </c>
    </row>
    <row r="9" spans="1:11" x14ac:dyDescent="0.2">
      <c r="A9" s="13" t="s">
        <v>47</v>
      </c>
      <c r="B9" s="17">
        <v>0.12</v>
      </c>
      <c r="C9" s="18" t="s">
        <v>32</v>
      </c>
    </row>
    <row r="10" spans="1:11" ht="16" x14ac:dyDescent="0.2">
      <c r="A10" s="13" t="s">
        <v>48</v>
      </c>
      <c r="B10" s="17">
        <v>0.12</v>
      </c>
      <c r="C10" s="18" t="s">
        <v>32</v>
      </c>
      <c r="J10" s="15" t="s">
        <v>49</v>
      </c>
      <c r="K10" s="14" t="s">
        <v>50</v>
      </c>
    </row>
    <row r="11" spans="1:11" ht="16" x14ac:dyDescent="0.2">
      <c r="A11" s="13" t="s">
        <v>51</v>
      </c>
      <c r="B11" s="17">
        <v>0.12</v>
      </c>
      <c r="C11" s="18" t="s">
        <v>52</v>
      </c>
      <c r="D11" s="14" t="s">
        <v>53</v>
      </c>
      <c r="J11" s="15" t="s">
        <v>54</v>
      </c>
      <c r="K11" s="14" t="s">
        <v>55</v>
      </c>
    </row>
    <row r="12" spans="1:11" ht="16" x14ac:dyDescent="0.2">
      <c r="A12" s="13" t="s">
        <v>56</v>
      </c>
      <c r="B12" s="17">
        <v>0.12</v>
      </c>
      <c r="C12" s="18" t="s">
        <v>32</v>
      </c>
      <c r="J12" s="15" t="s">
        <v>57</v>
      </c>
      <c r="K12" s="14" t="s">
        <v>58</v>
      </c>
    </row>
    <row r="13" spans="1:11" x14ac:dyDescent="0.2">
      <c r="A13" s="13" t="s">
        <v>59</v>
      </c>
      <c r="B13" s="17">
        <v>0.12</v>
      </c>
      <c r="C13" s="18" t="s">
        <v>32</v>
      </c>
    </row>
    <row r="14" spans="1:11" ht="16" x14ac:dyDescent="0.2">
      <c r="A14" s="13" t="s">
        <v>60</v>
      </c>
      <c r="B14" s="17">
        <v>0.12</v>
      </c>
      <c r="C14" s="18" t="s">
        <v>52</v>
      </c>
      <c r="D14" s="14" t="s">
        <v>61</v>
      </c>
      <c r="J14" s="15" t="s">
        <v>62</v>
      </c>
      <c r="K14" s="14" t="s">
        <v>63</v>
      </c>
    </row>
    <row r="15" spans="1:11" ht="16" x14ac:dyDescent="0.2">
      <c r="A15" s="20" t="s">
        <v>64</v>
      </c>
      <c r="B15" s="17">
        <v>1.92</v>
      </c>
      <c r="C15" s="18" t="s">
        <v>65</v>
      </c>
      <c r="J15" s="15" t="s">
        <v>66</v>
      </c>
      <c r="K15" s="14" t="s">
        <v>67</v>
      </c>
    </row>
    <row r="16" spans="1:11" ht="16" x14ac:dyDescent="0.2">
      <c r="A16" s="20" t="s">
        <v>68</v>
      </c>
      <c r="B16" s="17">
        <v>0.96</v>
      </c>
      <c r="C16" s="18" t="s">
        <v>69</v>
      </c>
      <c r="J16" s="15" t="s">
        <v>70</v>
      </c>
      <c r="K16" s="14" t="s">
        <v>71</v>
      </c>
    </row>
    <row r="17" spans="1:11" x14ac:dyDescent="0.2">
      <c r="A17" s="20" t="s">
        <v>72</v>
      </c>
      <c r="B17" s="17">
        <v>0.96</v>
      </c>
      <c r="C17" s="18" t="s">
        <v>73</v>
      </c>
      <c r="D17" s="14" t="s">
        <v>205</v>
      </c>
    </row>
    <row r="18" spans="1:11" ht="16" x14ac:dyDescent="0.2">
      <c r="A18" s="20" t="s">
        <v>74</v>
      </c>
      <c r="B18" s="17">
        <v>0.192</v>
      </c>
      <c r="C18" s="18" t="s">
        <v>75</v>
      </c>
      <c r="J18" s="15" t="s">
        <v>76</v>
      </c>
      <c r="K18" s="21" t="s">
        <v>77</v>
      </c>
    </row>
    <row r="19" spans="1:11" x14ac:dyDescent="0.2">
      <c r="A19" s="13" t="s">
        <v>78</v>
      </c>
      <c r="B19" s="17">
        <f>(10-SUM(B3:B18))</f>
        <v>4.5279999999999996</v>
      </c>
      <c r="C19" s="18"/>
    </row>
    <row r="20" spans="1:11" x14ac:dyDescent="0.2">
      <c r="A20" s="13" t="s">
        <v>79</v>
      </c>
      <c r="B20" s="17">
        <v>2</v>
      </c>
      <c r="C20" s="18"/>
    </row>
    <row r="21" spans="1:11" x14ac:dyDescent="0.2">
      <c r="A21" s="13" t="s">
        <v>80</v>
      </c>
      <c r="B21" s="22">
        <f>SUM(B3:B20)</f>
        <v>12</v>
      </c>
      <c r="C21" s="18"/>
    </row>
  </sheetData>
  <mergeCells count="2">
    <mergeCell ref="F1:H1"/>
    <mergeCell ref="F4:F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20FB0C-3441-8341-9B91-4761EB4A6312}">
  <dimension ref="A1:K21"/>
  <sheetViews>
    <sheetView workbookViewId="0"/>
  </sheetViews>
  <sheetFormatPr baseColWidth="10" defaultColWidth="8.83203125" defaultRowHeight="15" x14ac:dyDescent="0.2"/>
  <cols>
    <col min="1" max="1" width="24.83203125" style="14" bestFit="1" customWidth="1"/>
    <col min="2" max="2" width="6.5" style="14" bestFit="1" customWidth="1"/>
    <col min="3" max="3" width="18.6640625" style="14" bestFit="1" customWidth="1"/>
    <col min="4" max="4" width="6.5" style="14" bestFit="1" customWidth="1"/>
    <col min="5" max="5" width="8.83203125" style="14"/>
    <col min="6" max="6" width="17.33203125" style="14" bestFit="1" customWidth="1"/>
    <col min="7" max="9" width="8.83203125" style="14"/>
    <col min="10" max="10" width="16.6640625" style="14" bestFit="1" customWidth="1"/>
    <col min="11" max="11" width="57.5" style="14" bestFit="1" customWidth="1"/>
    <col min="12" max="16384" width="8.83203125" style="14"/>
  </cols>
  <sheetData>
    <row r="1" spans="1:11" ht="16" x14ac:dyDescent="0.2">
      <c r="A1" s="13" t="s">
        <v>204</v>
      </c>
      <c r="F1" s="83" t="s">
        <v>12</v>
      </c>
      <c r="G1" s="83"/>
      <c r="H1" s="83"/>
      <c r="J1" s="15" t="s">
        <v>13</v>
      </c>
    </row>
    <row r="2" spans="1:11" ht="16" x14ac:dyDescent="0.2">
      <c r="B2" s="14" t="s">
        <v>14</v>
      </c>
      <c r="C2" s="14" t="s">
        <v>15</v>
      </c>
      <c r="F2" s="16" t="s">
        <v>16</v>
      </c>
      <c r="G2" s="16" t="s">
        <v>17</v>
      </c>
      <c r="H2" s="16" t="s">
        <v>18</v>
      </c>
      <c r="J2" s="15" t="s">
        <v>19</v>
      </c>
      <c r="K2" s="14" t="s">
        <v>20</v>
      </c>
    </row>
    <row r="3" spans="1:11" ht="16" x14ac:dyDescent="0.2">
      <c r="A3" s="13" t="s">
        <v>21</v>
      </c>
      <c r="B3" s="17">
        <v>0.25</v>
      </c>
      <c r="C3" s="18" t="s">
        <v>22</v>
      </c>
      <c r="F3" s="19">
        <v>1</v>
      </c>
      <c r="G3" s="16" t="s">
        <v>23</v>
      </c>
      <c r="H3" s="16" t="s">
        <v>24</v>
      </c>
      <c r="J3" s="15" t="s">
        <v>25</v>
      </c>
      <c r="K3" s="14" t="s">
        <v>26</v>
      </c>
    </row>
    <row r="4" spans="1:11" ht="16" x14ac:dyDescent="0.2">
      <c r="A4" s="13" t="s">
        <v>27</v>
      </c>
      <c r="B4" s="17">
        <v>0.25</v>
      </c>
      <c r="C4" s="18" t="s">
        <v>22</v>
      </c>
      <c r="F4" s="84">
        <v>45</v>
      </c>
      <c r="G4" s="16" t="s">
        <v>23</v>
      </c>
      <c r="H4" s="16" t="s">
        <v>28</v>
      </c>
      <c r="J4" s="15" t="s">
        <v>29</v>
      </c>
      <c r="K4" s="14" t="s">
        <v>30</v>
      </c>
    </row>
    <row r="5" spans="1:11" x14ac:dyDescent="0.2">
      <c r="A5" s="13" t="s">
        <v>31</v>
      </c>
      <c r="B5" s="17">
        <v>0.25</v>
      </c>
      <c r="C5" s="18" t="s">
        <v>32</v>
      </c>
      <c r="D5" s="14" t="s">
        <v>33</v>
      </c>
      <c r="F5" s="84"/>
      <c r="G5" s="16" t="s">
        <v>34</v>
      </c>
      <c r="H5" s="16" t="s">
        <v>35</v>
      </c>
    </row>
    <row r="6" spans="1:11" ht="16" x14ac:dyDescent="0.2">
      <c r="A6" s="13" t="s">
        <v>36</v>
      </c>
      <c r="B6" s="17">
        <v>0.25</v>
      </c>
      <c r="C6" s="18" t="s">
        <v>22</v>
      </c>
      <c r="F6" s="84"/>
      <c r="G6" s="16" t="s">
        <v>37</v>
      </c>
      <c r="H6" s="16" t="s">
        <v>35</v>
      </c>
      <c r="J6" s="15" t="s">
        <v>38</v>
      </c>
      <c r="K6" s="14" t="s">
        <v>39</v>
      </c>
    </row>
    <row r="7" spans="1:11" ht="16" x14ac:dyDescent="0.2">
      <c r="A7" s="13" t="s">
        <v>40</v>
      </c>
      <c r="B7" s="17">
        <v>0.25</v>
      </c>
      <c r="C7" s="18" t="s">
        <v>22</v>
      </c>
      <c r="J7" s="15" t="s">
        <v>41</v>
      </c>
      <c r="K7" s="14" t="s">
        <v>42</v>
      </c>
    </row>
    <row r="8" spans="1:11" ht="16" x14ac:dyDescent="0.2">
      <c r="A8" s="13" t="s">
        <v>43</v>
      </c>
      <c r="B8" s="17">
        <v>0.25</v>
      </c>
      <c r="C8" s="18" t="s">
        <v>32</v>
      </c>
      <c r="D8" s="14" t="s">
        <v>44</v>
      </c>
      <c r="J8" s="15" t="s">
        <v>45</v>
      </c>
      <c r="K8" s="14" t="s">
        <v>46</v>
      </c>
    </row>
    <row r="9" spans="1:11" x14ac:dyDescent="0.2">
      <c r="A9" s="13" t="s">
        <v>47</v>
      </c>
      <c r="B9" s="17">
        <v>0.25</v>
      </c>
      <c r="C9" s="18" t="s">
        <v>32</v>
      </c>
    </row>
    <row r="10" spans="1:11" ht="16" x14ac:dyDescent="0.2">
      <c r="A10" s="13" t="s">
        <v>48</v>
      </c>
      <c r="B10" s="17">
        <v>0.25</v>
      </c>
      <c r="C10" s="18" t="s">
        <v>32</v>
      </c>
      <c r="J10" s="15" t="s">
        <v>49</v>
      </c>
      <c r="K10" s="14" t="s">
        <v>50</v>
      </c>
    </row>
    <row r="11" spans="1:11" ht="16" x14ac:dyDescent="0.2">
      <c r="A11" s="13" t="s">
        <v>51</v>
      </c>
      <c r="B11" s="17">
        <v>0.25</v>
      </c>
      <c r="C11" s="18" t="s">
        <v>52</v>
      </c>
      <c r="D11" s="14" t="s">
        <v>53</v>
      </c>
      <c r="J11" s="15" t="s">
        <v>54</v>
      </c>
      <c r="K11" s="14" t="s">
        <v>55</v>
      </c>
    </row>
    <row r="12" spans="1:11" ht="16" x14ac:dyDescent="0.2">
      <c r="A12" s="13" t="s">
        <v>56</v>
      </c>
      <c r="B12" s="17">
        <v>0.25</v>
      </c>
      <c r="C12" s="18" t="s">
        <v>32</v>
      </c>
      <c r="J12" s="15" t="s">
        <v>57</v>
      </c>
      <c r="K12" s="14" t="s">
        <v>58</v>
      </c>
    </row>
    <row r="13" spans="1:11" x14ac:dyDescent="0.2">
      <c r="A13" s="13" t="s">
        <v>59</v>
      </c>
      <c r="B13" s="17">
        <v>0.25</v>
      </c>
      <c r="C13" s="18" t="s">
        <v>32</v>
      </c>
    </row>
    <row r="14" spans="1:11" ht="16" x14ac:dyDescent="0.2">
      <c r="A14" s="13" t="s">
        <v>60</v>
      </c>
      <c r="B14" s="17">
        <v>0.25</v>
      </c>
      <c r="C14" s="18" t="s">
        <v>52</v>
      </c>
      <c r="D14" s="14" t="s">
        <v>61</v>
      </c>
      <c r="J14" s="15" t="s">
        <v>62</v>
      </c>
      <c r="K14" s="14" t="s">
        <v>63</v>
      </c>
    </row>
    <row r="15" spans="1:11" ht="16" x14ac:dyDescent="0.2">
      <c r="A15" s="20" t="s">
        <v>64</v>
      </c>
      <c r="B15" s="17">
        <v>4</v>
      </c>
      <c r="C15" s="18" t="s">
        <v>65</v>
      </c>
      <c r="J15" s="15" t="s">
        <v>66</v>
      </c>
      <c r="K15" s="14" t="s">
        <v>67</v>
      </c>
    </row>
    <row r="16" spans="1:11" ht="16" x14ac:dyDescent="0.2">
      <c r="A16" s="20" t="s">
        <v>68</v>
      </c>
      <c r="B16" s="17">
        <v>2</v>
      </c>
      <c r="C16" s="18" t="s">
        <v>69</v>
      </c>
      <c r="J16" s="15" t="s">
        <v>70</v>
      </c>
      <c r="K16" s="14" t="s">
        <v>71</v>
      </c>
    </row>
    <row r="17" spans="1:11" x14ac:dyDescent="0.2">
      <c r="A17" s="20" t="s">
        <v>72</v>
      </c>
      <c r="B17" s="17">
        <v>2</v>
      </c>
      <c r="C17" s="18" t="s">
        <v>73</v>
      </c>
      <c r="D17" s="14" t="s">
        <v>205</v>
      </c>
    </row>
    <row r="18" spans="1:11" ht="16" x14ac:dyDescent="0.2">
      <c r="A18" s="20" t="s">
        <v>74</v>
      </c>
      <c r="B18" s="17">
        <v>0.4</v>
      </c>
      <c r="C18" s="18" t="s">
        <v>81</v>
      </c>
      <c r="J18" s="15" t="s">
        <v>76</v>
      </c>
      <c r="K18" s="21" t="s">
        <v>82</v>
      </c>
    </row>
    <row r="19" spans="1:11" x14ac:dyDescent="0.2">
      <c r="A19" s="13" t="s">
        <v>78</v>
      </c>
      <c r="B19" s="17">
        <v>8.6</v>
      </c>
      <c r="C19" s="18"/>
    </row>
    <row r="20" spans="1:11" x14ac:dyDescent="0.2">
      <c r="A20" s="13" t="s">
        <v>79</v>
      </c>
      <c r="B20" s="17">
        <v>5</v>
      </c>
      <c r="C20" s="18"/>
    </row>
    <row r="21" spans="1:11" x14ac:dyDescent="0.2">
      <c r="A21" s="13" t="s">
        <v>80</v>
      </c>
      <c r="B21" s="22">
        <f>SUM(B3:B20)</f>
        <v>25</v>
      </c>
      <c r="C21" s="18"/>
    </row>
  </sheetData>
  <mergeCells count="2">
    <mergeCell ref="F1:H1"/>
    <mergeCell ref="F4:F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4806AA-57A9-2543-B204-B216A097F241}">
  <dimension ref="A2:B21"/>
  <sheetViews>
    <sheetView zoomScale="90" zoomScaleNormal="90" workbookViewId="0"/>
  </sheetViews>
  <sheetFormatPr baseColWidth="10" defaultColWidth="8.83203125" defaultRowHeight="15" x14ac:dyDescent="0.2"/>
  <cols>
    <col min="1" max="1" width="103.1640625" customWidth="1"/>
    <col min="2" max="2" width="2.83203125" customWidth="1"/>
  </cols>
  <sheetData>
    <row r="2" spans="1:2" ht="39" customHeight="1" x14ac:dyDescent="0.2">
      <c r="A2" s="11" t="s">
        <v>0</v>
      </c>
      <c r="B2" s="5"/>
    </row>
    <row r="3" spans="1:2" ht="42" customHeight="1" x14ac:dyDescent="0.2">
      <c r="A3" s="1" t="s">
        <v>1</v>
      </c>
      <c r="B3" s="5"/>
    </row>
    <row r="4" spans="1:2" ht="42" customHeight="1" x14ac:dyDescent="0.2">
      <c r="A4" s="1" t="s">
        <v>2</v>
      </c>
      <c r="B4" s="5"/>
    </row>
    <row r="5" spans="1:2" ht="42" customHeight="1" x14ac:dyDescent="0.2">
      <c r="A5" s="2" t="s">
        <v>3</v>
      </c>
      <c r="B5" s="6"/>
    </row>
    <row r="6" spans="1:2" ht="42" customHeight="1" x14ac:dyDescent="0.2">
      <c r="A6" s="2" t="s">
        <v>4</v>
      </c>
      <c r="B6" s="6"/>
    </row>
    <row r="7" spans="1:2" ht="48" x14ac:dyDescent="0.2">
      <c r="A7" s="3" t="s">
        <v>5</v>
      </c>
      <c r="B7" s="7"/>
    </row>
    <row r="8" spans="1:2" ht="42" customHeight="1" x14ac:dyDescent="0.2">
      <c r="A8" s="4" t="s">
        <v>8</v>
      </c>
      <c r="B8" s="7"/>
    </row>
    <row r="9" spans="1:2" ht="42" customHeight="1" x14ac:dyDescent="0.2">
      <c r="A9" s="3" t="s">
        <v>9</v>
      </c>
      <c r="B9" s="7"/>
    </row>
    <row r="10" spans="1:2" ht="42" customHeight="1" x14ac:dyDescent="0.2">
      <c r="A10" s="3" t="s">
        <v>10</v>
      </c>
      <c r="B10" s="7"/>
    </row>
    <row r="11" spans="1:2" ht="64" x14ac:dyDescent="0.2">
      <c r="A11" s="4" t="s">
        <v>11</v>
      </c>
      <c r="B11" s="8"/>
    </row>
    <row r="12" spans="1:2" ht="16" x14ac:dyDescent="0.2">
      <c r="A12" s="4" t="s">
        <v>6</v>
      </c>
      <c r="B12" s="8"/>
    </row>
    <row r="13" spans="1:2" ht="32" customHeight="1" x14ac:dyDescent="0.2">
      <c r="B13" s="8"/>
    </row>
    <row r="14" spans="1:2" ht="16" x14ac:dyDescent="0.2">
      <c r="A14" s="12" t="s">
        <v>7</v>
      </c>
    </row>
    <row r="15" spans="1:2" ht="112" x14ac:dyDescent="0.2">
      <c r="A15" s="60" t="s">
        <v>218</v>
      </c>
    </row>
    <row r="16" spans="1:2" ht="112" x14ac:dyDescent="0.2">
      <c r="A16" s="78" t="s">
        <v>225</v>
      </c>
    </row>
    <row r="17" spans="1:1" ht="48" x14ac:dyDescent="0.2">
      <c r="A17" s="4" t="s">
        <v>229</v>
      </c>
    </row>
    <row r="18" spans="1:1" ht="32" x14ac:dyDescent="0.2">
      <c r="A18" s="9" t="s">
        <v>230</v>
      </c>
    </row>
    <row r="19" spans="1:1" ht="144" x14ac:dyDescent="0.2">
      <c r="A19" s="9" t="s">
        <v>228</v>
      </c>
    </row>
    <row r="20" spans="1:1" ht="135" customHeight="1" x14ac:dyDescent="0.2">
      <c r="A20" s="9" t="s">
        <v>227</v>
      </c>
    </row>
    <row r="21" spans="1:1" x14ac:dyDescent="0.2">
      <c r="A21" s="10" t="s">
        <v>222</v>
      </c>
    </row>
  </sheetData>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5E3E4-C459-094F-A1D4-B64CC328DFFF}">
  <dimension ref="A1:L45"/>
  <sheetViews>
    <sheetView workbookViewId="0"/>
  </sheetViews>
  <sheetFormatPr baseColWidth="10" defaultColWidth="8.83203125" defaultRowHeight="15" x14ac:dyDescent="0.2"/>
  <cols>
    <col min="1" max="1" width="36.1640625" style="14" customWidth="1"/>
    <col min="2" max="2" width="35.33203125" style="14" customWidth="1"/>
    <col min="3" max="3" width="8.83203125" style="14"/>
    <col min="4" max="4" width="8.33203125" style="14" customWidth="1"/>
    <col min="5" max="5" width="9.33203125" style="14" customWidth="1"/>
    <col min="6" max="6" width="23.6640625" style="24" customWidth="1"/>
    <col min="7" max="7" width="16" style="14" customWidth="1"/>
    <col min="8" max="8" width="12.83203125" style="14" customWidth="1"/>
    <col min="9" max="9" width="17.33203125" style="14" customWidth="1"/>
    <col min="10" max="10" width="76.83203125" style="14" customWidth="1"/>
    <col min="11" max="11" width="52.83203125" style="14" customWidth="1"/>
    <col min="12" max="12" width="158.5" style="14" customWidth="1"/>
    <col min="13" max="16384" width="8.83203125" style="14"/>
  </cols>
  <sheetData>
    <row r="1" spans="1:12" x14ac:dyDescent="0.2">
      <c r="A1" s="14" t="s">
        <v>83</v>
      </c>
      <c r="B1" s="23">
        <v>44550</v>
      </c>
    </row>
    <row r="2" spans="1:12" x14ac:dyDescent="0.2">
      <c r="A2" s="14" t="s">
        <v>84</v>
      </c>
      <c r="B2" s="14" t="s">
        <v>85</v>
      </c>
    </row>
    <row r="3" spans="1:12" x14ac:dyDescent="0.2">
      <c r="A3" s="14" t="s">
        <v>86</v>
      </c>
    </row>
    <row r="4" spans="1:12" x14ac:dyDescent="0.2">
      <c r="A4" s="14" t="s">
        <v>87</v>
      </c>
      <c r="B4" s="14" t="s">
        <v>88</v>
      </c>
    </row>
    <row r="5" spans="1:12" x14ac:dyDescent="0.2">
      <c r="A5" s="14" t="s">
        <v>89</v>
      </c>
      <c r="B5" s="25">
        <v>4800</v>
      </c>
      <c r="C5" s="14" t="s">
        <v>90</v>
      </c>
    </row>
    <row r="8" spans="1:12" s="30" customFormat="1" ht="48" x14ac:dyDescent="0.2">
      <c r="A8" s="26" t="s">
        <v>84</v>
      </c>
      <c r="B8" s="27" t="s">
        <v>91</v>
      </c>
      <c r="C8" s="28" t="s">
        <v>92</v>
      </c>
      <c r="D8" s="28" t="s">
        <v>93</v>
      </c>
      <c r="E8" s="28" t="s">
        <v>94</v>
      </c>
      <c r="F8" s="29" t="s">
        <v>95</v>
      </c>
      <c r="G8" s="28" t="s">
        <v>96</v>
      </c>
      <c r="H8" s="27" t="s">
        <v>97</v>
      </c>
      <c r="I8" s="27" t="s">
        <v>98</v>
      </c>
      <c r="J8" s="27" t="s">
        <v>99</v>
      </c>
      <c r="K8" s="26" t="s">
        <v>100</v>
      </c>
      <c r="L8" s="26" t="s">
        <v>101</v>
      </c>
    </row>
    <row r="9" spans="1:12" x14ac:dyDescent="0.2">
      <c r="A9" s="14" t="s">
        <v>102</v>
      </c>
      <c r="B9" s="31" t="s">
        <v>103</v>
      </c>
      <c r="C9" s="32">
        <v>10</v>
      </c>
      <c r="D9" s="32">
        <v>5000</v>
      </c>
      <c r="E9" s="32">
        <f>D9*C9</f>
        <v>50000</v>
      </c>
      <c r="F9" s="33">
        <v>4914058001</v>
      </c>
      <c r="G9" s="34">
        <v>0.6</v>
      </c>
      <c r="H9" s="35">
        <v>1</v>
      </c>
      <c r="I9" s="31" t="s">
        <v>104</v>
      </c>
      <c r="J9" s="36" t="s">
        <v>105</v>
      </c>
      <c r="L9" s="14" t="s">
        <v>106</v>
      </c>
    </row>
    <row r="10" spans="1:12" x14ac:dyDescent="0.2">
      <c r="A10" s="14" t="s">
        <v>102</v>
      </c>
      <c r="B10" s="31" t="s">
        <v>107</v>
      </c>
      <c r="C10" s="32">
        <v>1</v>
      </c>
      <c r="D10" s="32"/>
      <c r="E10" s="32">
        <v>113</v>
      </c>
      <c r="F10" s="37" t="s">
        <v>108</v>
      </c>
      <c r="G10" s="34">
        <v>1.0619469026548674</v>
      </c>
      <c r="H10" s="35">
        <v>2</v>
      </c>
      <c r="I10" s="31" t="s">
        <v>109</v>
      </c>
      <c r="J10" s="36" t="s">
        <v>110</v>
      </c>
      <c r="K10" s="14" t="s">
        <v>111</v>
      </c>
      <c r="L10" s="14" t="s">
        <v>106</v>
      </c>
    </row>
    <row r="11" spans="1:12" x14ac:dyDescent="0.2">
      <c r="A11" s="14" t="s">
        <v>112</v>
      </c>
      <c r="B11" s="31" t="s">
        <v>74</v>
      </c>
      <c r="C11" s="32">
        <v>20</v>
      </c>
      <c r="D11" s="32">
        <v>100</v>
      </c>
      <c r="E11" s="32">
        <f>C11*D11</f>
        <v>2000</v>
      </c>
      <c r="F11" s="37" t="s">
        <v>113</v>
      </c>
      <c r="G11" s="34">
        <v>0.96</v>
      </c>
      <c r="H11" s="38">
        <v>1</v>
      </c>
      <c r="I11" s="31" t="s">
        <v>114</v>
      </c>
      <c r="J11" s="36" t="s">
        <v>115</v>
      </c>
      <c r="L11" s="14" t="s">
        <v>116</v>
      </c>
    </row>
    <row r="12" spans="1:12" x14ac:dyDescent="0.2">
      <c r="A12" s="14" t="s">
        <v>112</v>
      </c>
      <c r="B12" s="31" t="s">
        <v>64</v>
      </c>
      <c r="C12" s="32">
        <v>2</v>
      </c>
      <c r="D12" s="32">
        <v>1200</v>
      </c>
      <c r="E12" s="32">
        <f>C12*D12</f>
        <v>2400</v>
      </c>
      <c r="F12" s="37" t="s">
        <v>117</v>
      </c>
      <c r="G12" s="34"/>
      <c r="H12" s="35">
        <v>0</v>
      </c>
      <c r="I12" s="31" t="s">
        <v>114</v>
      </c>
      <c r="J12" s="36" t="s">
        <v>115</v>
      </c>
      <c r="K12" s="14" t="s">
        <v>118</v>
      </c>
      <c r="L12" s="14" t="s">
        <v>116</v>
      </c>
    </row>
    <row r="13" spans="1:12" x14ac:dyDescent="0.2">
      <c r="A13" s="14" t="s">
        <v>112</v>
      </c>
      <c r="B13" s="31" t="s">
        <v>68</v>
      </c>
      <c r="C13" s="32">
        <v>1</v>
      </c>
      <c r="D13" s="32">
        <v>1200</v>
      </c>
      <c r="E13" s="32">
        <f>C13*D13</f>
        <v>1200</v>
      </c>
      <c r="F13" s="37" t="s">
        <v>117</v>
      </c>
      <c r="G13" s="34"/>
      <c r="H13" s="35">
        <v>0</v>
      </c>
      <c r="I13" s="31" t="s">
        <v>114</v>
      </c>
      <c r="J13" s="36" t="s">
        <v>115</v>
      </c>
      <c r="K13" s="14" t="s">
        <v>118</v>
      </c>
      <c r="L13" s="14" t="s">
        <v>116</v>
      </c>
    </row>
    <row r="14" spans="1:12" x14ac:dyDescent="0.2">
      <c r="A14" s="14" t="s">
        <v>112</v>
      </c>
      <c r="B14" s="31" t="s">
        <v>119</v>
      </c>
      <c r="C14" s="32">
        <v>10</v>
      </c>
      <c r="D14" s="32">
        <v>1000</v>
      </c>
      <c r="E14" s="32">
        <f>C14*D14</f>
        <v>10000</v>
      </c>
      <c r="F14" s="37" t="s">
        <v>120</v>
      </c>
      <c r="G14" s="34">
        <v>0.96</v>
      </c>
      <c r="H14" s="35">
        <v>1</v>
      </c>
      <c r="I14" s="31" t="s">
        <v>114</v>
      </c>
      <c r="J14" s="36" t="s">
        <v>121</v>
      </c>
      <c r="L14" s="14" t="s">
        <v>116</v>
      </c>
    </row>
    <row r="15" spans="1:12" x14ac:dyDescent="0.2">
      <c r="A15" s="14" t="s">
        <v>112</v>
      </c>
      <c r="B15" s="31" t="s">
        <v>122</v>
      </c>
      <c r="C15" s="32">
        <v>1</v>
      </c>
      <c r="D15" s="32"/>
      <c r="E15" s="32">
        <v>757</v>
      </c>
      <c r="F15" s="37" t="s">
        <v>108</v>
      </c>
      <c r="G15" s="34">
        <v>0.31704095112285335</v>
      </c>
      <c r="H15" s="35">
        <v>1</v>
      </c>
      <c r="I15" s="31" t="s">
        <v>109</v>
      </c>
      <c r="J15" s="36" t="s">
        <v>123</v>
      </c>
      <c r="K15" s="14" t="s">
        <v>124</v>
      </c>
      <c r="L15" s="14" t="s">
        <v>116</v>
      </c>
    </row>
    <row r="16" spans="1:12" x14ac:dyDescent="0.2">
      <c r="A16" s="14" t="s">
        <v>112</v>
      </c>
      <c r="B16" s="31" t="s">
        <v>125</v>
      </c>
      <c r="C16" s="32">
        <v>1</v>
      </c>
      <c r="D16" s="32"/>
      <c r="E16" s="32">
        <v>714</v>
      </c>
      <c r="F16" s="37" t="s">
        <v>108</v>
      </c>
      <c r="G16" s="34">
        <v>0.33613445378151263</v>
      </c>
      <c r="H16" s="35">
        <v>1</v>
      </c>
      <c r="I16" s="31" t="s">
        <v>109</v>
      </c>
      <c r="J16" s="36" t="s">
        <v>123</v>
      </c>
      <c r="K16" s="14" t="s">
        <v>126</v>
      </c>
      <c r="L16" s="14" t="s">
        <v>116</v>
      </c>
    </row>
    <row r="17" spans="1:12" x14ac:dyDescent="0.2">
      <c r="A17" s="14" t="s">
        <v>112</v>
      </c>
      <c r="B17" s="31" t="s">
        <v>127</v>
      </c>
      <c r="C17" s="32">
        <v>1</v>
      </c>
      <c r="D17" s="32"/>
      <c r="E17" s="32">
        <v>302</v>
      </c>
      <c r="F17" s="37" t="s">
        <v>108</v>
      </c>
      <c r="G17" s="34">
        <v>0.47682119205298013</v>
      </c>
      <c r="H17" s="35">
        <v>1</v>
      </c>
      <c r="I17" s="31" t="s">
        <v>109</v>
      </c>
      <c r="J17" s="36" t="s">
        <v>110</v>
      </c>
      <c r="K17" s="14" t="s">
        <v>128</v>
      </c>
      <c r="L17" s="14" t="s">
        <v>116</v>
      </c>
    </row>
    <row r="18" spans="1:12" x14ac:dyDescent="0.2">
      <c r="A18" s="14" t="s">
        <v>112</v>
      </c>
      <c r="B18" s="31" t="s">
        <v>129</v>
      </c>
      <c r="C18" s="32">
        <v>1</v>
      </c>
      <c r="D18" s="32"/>
      <c r="E18" s="32">
        <v>1041</v>
      </c>
      <c r="F18" s="37" t="s">
        <v>108</v>
      </c>
      <c r="G18" s="34">
        <v>0.23054755043227665</v>
      </c>
      <c r="H18" s="35">
        <v>1</v>
      </c>
      <c r="I18" s="31" t="s">
        <v>109</v>
      </c>
      <c r="J18" s="36" t="s">
        <v>123</v>
      </c>
      <c r="K18" s="14" t="s">
        <v>130</v>
      </c>
      <c r="L18" s="14" t="s">
        <v>116</v>
      </c>
    </row>
    <row r="19" spans="1:12" x14ac:dyDescent="0.2">
      <c r="A19" s="14" t="s">
        <v>112</v>
      </c>
      <c r="B19" s="31" t="s">
        <v>131</v>
      </c>
      <c r="C19" s="32">
        <v>1</v>
      </c>
      <c r="D19" s="32"/>
      <c r="E19" s="32">
        <v>1069</v>
      </c>
      <c r="F19" s="37" t="s">
        <v>108</v>
      </c>
      <c r="G19" s="34">
        <v>0.22450888681010289</v>
      </c>
      <c r="H19" s="35">
        <v>1</v>
      </c>
      <c r="I19" s="31" t="s">
        <v>109</v>
      </c>
      <c r="J19" s="36" t="s">
        <v>123</v>
      </c>
      <c r="K19" s="14" t="s">
        <v>132</v>
      </c>
      <c r="L19" s="14" t="s">
        <v>116</v>
      </c>
    </row>
    <row r="20" spans="1:12" x14ac:dyDescent="0.2">
      <c r="A20" s="14" t="s">
        <v>112</v>
      </c>
      <c r="B20" s="31" t="s">
        <v>133</v>
      </c>
      <c r="C20" s="32">
        <v>1</v>
      </c>
      <c r="D20" s="32"/>
      <c r="E20" s="32">
        <v>608</v>
      </c>
      <c r="F20" s="37" t="s">
        <v>108</v>
      </c>
      <c r="G20" s="34">
        <v>0.23684210526315788</v>
      </c>
      <c r="H20" s="35">
        <v>1</v>
      </c>
      <c r="I20" s="31" t="s">
        <v>109</v>
      </c>
      <c r="J20" s="36" t="s">
        <v>110</v>
      </c>
      <c r="K20" s="14" t="s">
        <v>134</v>
      </c>
      <c r="L20" s="14" t="s">
        <v>116</v>
      </c>
    </row>
    <row r="21" spans="1:12" x14ac:dyDescent="0.2">
      <c r="A21" s="14" t="s">
        <v>135</v>
      </c>
      <c r="B21" s="31" t="s">
        <v>136</v>
      </c>
      <c r="C21" s="32">
        <v>1</v>
      </c>
      <c r="D21" s="32"/>
      <c r="E21" s="32">
        <v>888</v>
      </c>
      <c r="F21" s="37" t="s">
        <v>108</v>
      </c>
      <c r="G21" s="34">
        <v>0.32432432432432434</v>
      </c>
      <c r="H21" s="35">
        <v>1</v>
      </c>
      <c r="I21" s="31" t="s">
        <v>109</v>
      </c>
      <c r="J21" s="36" t="s">
        <v>123</v>
      </c>
      <c r="K21" s="14" t="s">
        <v>137</v>
      </c>
      <c r="L21" s="14" t="s">
        <v>138</v>
      </c>
    </row>
    <row r="22" spans="1:12" x14ac:dyDescent="0.2">
      <c r="A22" s="14" t="s">
        <v>135</v>
      </c>
      <c r="B22" s="31" t="s">
        <v>139</v>
      </c>
      <c r="C22" s="32">
        <v>1</v>
      </c>
      <c r="D22" s="32"/>
      <c r="E22" s="32">
        <v>1023</v>
      </c>
      <c r="F22" s="37" t="s">
        <v>108</v>
      </c>
      <c r="G22" s="34">
        <v>0.28152492668621704</v>
      </c>
      <c r="H22" s="35">
        <v>1</v>
      </c>
      <c r="I22" s="31" t="s">
        <v>109</v>
      </c>
      <c r="J22" s="36" t="s">
        <v>123</v>
      </c>
      <c r="K22" s="14" t="s">
        <v>140</v>
      </c>
      <c r="L22" s="14" t="s">
        <v>138</v>
      </c>
    </row>
    <row r="23" spans="1:12" x14ac:dyDescent="0.2">
      <c r="A23" s="14" t="s">
        <v>112</v>
      </c>
      <c r="B23" s="31" t="s">
        <v>141</v>
      </c>
      <c r="C23" s="32">
        <v>1</v>
      </c>
      <c r="D23" s="32"/>
      <c r="E23" s="32">
        <v>113</v>
      </c>
      <c r="F23" s="37" t="s">
        <v>108</v>
      </c>
      <c r="G23" s="34">
        <v>0.84955752212389379</v>
      </c>
      <c r="H23" s="35">
        <v>1</v>
      </c>
      <c r="I23" s="31" t="s">
        <v>109</v>
      </c>
      <c r="J23" s="36" t="s">
        <v>110</v>
      </c>
      <c r="K23" s="14" t="s">
        <v>142</v>
      </c>
      <c r="L23" s="14" t="s">
        <v>143</v>
      </c>
    </row>
    <row r="24" spans="1:12" x14ac:dyDescent="0.2">
      <c r="A24" s="14" t="s">
        <v>112</v>
      </c>
      <c r="B24" s="31" t="s">
        <v>144</v>
      </c>
      <c r="C24" s="32">
        <v>1</v>
      </c>
      <c r="D24" s="32"/>
      <c r="E24" s="32">
        <v>849</v>
      </c>
      <c r="F24" s="37" t="s">
        <v>108</v>
      </c>
      <c r="G24" s="34">
        <v>0.16961130742049471</v>
      </c>
      <c r="H24" s="35">
        <v>1</v>
      </c>
      <c r="I24" s="31" t="s">
        <v>109</v>
      </c>
      <c r="J24" s="36" t="s">
        <v>123</v>
      </c>
      <c r="K24" s="14" t="s">
        <v>215</v>
      </c>
      <c r="L24" s="14" t="s">
        <v>116</v>
      </c>
    </row>
    <row r="25" spans="1:12" x14ac:dyDescent="0.2">
      <c r="A25" s="14" t="s">
        <v>112</v>
      </c>
      <c r="B25" s="31" t="s">
        <v>145</v>
      </c>
      <c r="C25" s="32">
        <v>1</v>
      </c>
      <c r="D25" s="32"/>
      <c r="E25" s="32">
        <v>711</v>
      </c>
      <c r="F25" s="37" t="s">
        <v>108</v>
      </c>
      <c r="G25" s="34">
        <v>0.20253164556962025</v>
      </c>
      <c r="H25" s="35">
        <v>1</v>
      </c>
      <c r="I25" s="31" t="s">
        <v>109</v>
      </c>
      <c r="J25" s="36" t="s">
        <v>123</v>
      </c>
      <c r="K25" s="14" t="s">
        <v>216</v>
      </c>
      <c r="L25" s="14" t="s">
        <v>116</v>
      </c>
    </row>
    <row r="26" spans="1:12" x14ac:dyDescent="0.2">
      <c r="A26" s="14" t="s">
        <v>112</v>
      </c>
      <c r="B26" s="31" t="s">
        <v>146</v>
      </c>
      <c r="C26" s="32">
        <v>1</v>
      </c>
      <c r="D26" s="32"/>
      <c r="E26" s="32">
        <v>400</v>
      </c>
      <c r="F26" s="37" t="s">
        <v>108</v>
      </c>
      <c r="G26" s="34">
        <v>0.24</v>
      </c>
      <c r="H26" s="35">
        <v>1</v>
      </c>
      <c r="I26" s="31" t="s">
        <v>109</v>
      </c>
      <c r="J26" s="36" t="s">
        <v>110</v>
      </c>
      <c r="K26" s="14" t="s">
        <v>217</v>
      </c>
      <c r="L26" s="14" t="s">
        <v>116</v>
      </c>
    </row>
    <row r="27" spans="1:12" x14ac:dyDescent="0.2">
      <c r="A27" s="14" t="s">
        <v>147</v>
      </c>
      <c r="B27" s="31" t="s">
        <v>148</v>
      </c>
      <c r="C27" s="32">
        <v>5</v>
      </c>
      <c r="D27" s="32">
        <v>5000</v>
      </c>
      <c r="E27" s="32">
        <f>C27*D27</f>
        <v>25000</v>
      </c>
      <c r="F27" s="37">
        <v>4913914001</v>
      </c>
      <c r="G27" s="34">
        <v>1.2</v>
      </c>
      <c r="H27" s="35">
        <v>1</v>
      </c>
      <c r="I27" s="31" t="s">
        <v>104</v>
      </c>
      <c r="J27" s="36" t="s">
        <v>149</v>
      </c>
      <c r="K27" s="14" t="s">
        <v>150</v>
      </c>
      <c r="L27" s="14" t="s">
        <v>151</v>
      </c>
    </row>
    <row r="28" spans="1:12" x14ac:dyDescent="0.2">
      <c r="A28" s="14" t="s">
        <v>147</v>
      </c>
      <c r="B28" s="31" t="s">
        <v>152</v>
      </c>
      <c r="C28" s="32">
        <v>1</v>
      </c>
      <c r="D28" s="32"/>
      <c r="E28" s="32">
        <v>500</v>
      </c>
      <c r="F28" s="37" t="s">
        <v>108</v>
      </c>
      <c r="G28" s="34">
        <v>0.48</v>
      </c>
      <c r="H28" s="35">
        <v>1</v>
      </c>
      <c r="I28" s="31" t="s">
        <v>109</v>
      </c>
      <c r="J28" s="36" t="s">
        <v>123</v>
      </c>
      <c r="K28" s="14" t="s">
        <v>153</v>
      </c>
      <c r="L28" s="14" t="s">
        <v>151</v>
      </c>
    </row>
    <row r="29" spans="1:12" x14ac:dyDescent="0.2">
      <c r="A29" s="14" t="s">
        <v>147</v>
      </c>
      <c r="B29" s="31" t="s">
        <v>154</v>
      </c>
      <c r="C29" s="32">
        <v>1</v>
      </c>
      <c r="D29" s="32"/>
      <c r="E29" s="32">
        <v>500</v>
      </c>
      <c r="F29" s="37" t="s">
        <v>108</v>
      </c>
      <c r="G29" s="34">
        <v>0.48</v>
      </c>
      <c r="H29" s="35">
        <v>1</v>
      </c>
      <c r="I29" s="31" t="s">
        <v>109</v>
      </c>
      <c r="J29" s="36" t="s">
        <v>123</v>
      </c>
      <c r="K29" s="14" t="s">
        <v>155</v>
      </c>
      <c r="L29" s="14" t="s">
        <v>151</v>
      </c>
    </row>
    <row r="30" spans="1:12" x14ac:dyDescent="0.2">
      <c r="A30" s="14" t="s">
        <v>112</v>
      </c>
      <c r="B30" s="31" t="s">
        <v>156</v>
      </c>
      <c r="C30" s="32">
        <v>20</v>
      </c>
      <c r="D30" s="32">
        <v>1</v>
      </c>
      <c r="E30" s="32">
        <f>C30*D30</f>
        <v>20</v>
      </c>
      <c r="F30" s="37" t="s">
        <v>157</v>
      </c>
      <c r="G30" s="34">
        <f>$B$5/96/E30</f>
        <v>2.5</v>
      </c>
      <c r="H30" s="35">
        <v>5</v>
      </c>
      <c r="I30" s="31" t="s">
        <v>114</v>
      </c>
      <c r="J30" s="36" t="s">
        <v>158</v>
      </c>
    </row>
    <row r="31" spans="1:12" x14ac:dyDescent="0.2">
      <c r="A31" s="14" t="s">
        <v>147</v>
      </c>
      <c r="B31" s="31" t="s">
        <v>156</v>
      </c>
      <c r="C31" s="32">
        <v>20</v>
      </c>
      <c r="D31" s="32">
        <v>1</v>
      </c>
      <c r="E31" s="32">
        <f t="shared" ref="E31:E32" si="0">C31*D31</f>
        <v>20</v>
      </c>
      <c r="F31" s="37" t="s">
        <v>157</v>
      </c>
      <c r="G31" s="34">
        <f>$B$5/2/96/E31</f>
        <v>1.25</v>
      </c>
      <c r="H31" s="35">
        <v>0</v>
      </c>
      <c r="I31" s="31" t="s">
        <v>114</v>
      </c>
      <c r="J31" s="36" t="s">
        <v>158</v>
      </c>
    </row>
    <row r="32" spans="1:12" x14ac:dyDescent="0.2">
      <c r="A32" s="14" t="s">
        <v>102</v>
      </c>
      <c r="B32" s="31" t="s">
        <v>156</v>
      </c>
      <c r="C32" s="32">
        <v>20</v>
      </c>
      <c r="D32" s="32">
        <v>1</v>
      </c>
      <c r="E32" s="32">
        <f t="shared" si="0"/>
        <v>20</v>
      </c>
      <c r="F32" s="37" t="s">
        <v>157</v>
      </c>
      <c r="G32" s="34">
        <f>$B$5/2/96/E32</f>
        <v>1.25</v>
      </c>
      <c r="H32" s="35">
        <v>0</v>
      </c>
      <c r="I32" s="31" t="s">
        <v>114</v>
      </c>
      <c r="J32" s="36" t="s">
        <v>158</v>
      </c>
    </row>
    <row r="33" spans="1:12" x14ac:dyDescent="0.2">
      <c r="A33" s="14" t="s">
        <v>159</v>
      </c>
      <c r="B33" s="39" t="s">
        <v>160</v>
      </c>
      <c r="C33" s="32"/>
      <c r="D33" s="32"/>
      <c r="E33" s="32"/>
      <c r="F33" s="33" t="s">
        <v>161</v>
      </c>
      <c r="G33" s="34"/>
      <c r="H33" s="35">
        <v>1</v>
      </c>
      <c r="I33" s="39" t="s">
        <v>162</v>
      </c>
      <c r="J33" s="36" t="s">
        <v>163</v>
      </c>
      <c r="K33" s="14" t="s">
        <v>164</v>
      </c>
    </row>
    <row r="34" spans="1:12" x14ac:dyDescent="0.2">
      <c r="A34" s="14" t="s">
        <v>159</v>
      </c>
      <c r="B34" s="39" t="s">
        <v>165</v>
      </c>
      <c r="C34" s="32"/>
      <c r="D34" s="32"/>
      <c r="E34" s="32"/>
      <c r="F34" s="33" t="s">
        <v>166</v>
      </c>
      <c r="G34" s="34"/>
      <c r="H34" s="35">
        <v>1</v>
      </c>
      <c r="I34" s="39" t="s">
        <v>167</v>
      </c>
      <c r="J34" s="36" t="s">
        <v>168</v>
      </c>
      <c r="K34" s="14" t="s">
        <v>169</v>
      </c>
    </row>
    <row r="35" spans="1:12" x14ac:dyDescent="0.2">
      <c r="A35" s="14" t="s">
        <v>159</v>
      </c>
      <c r="B35" s="39" t="s">
        <v>170</v>
      </c>
      <c r="C35" s="32"/>
      <c r="D35" s="32"/>
      <c r="E35" s="32"/>
      <c r="F35" s="33" t="s">
        <v>171</v>
      </c>
      <c r="G35" s="34"/>
      <c r="H35" s="35">
        <v>1</v>
      </c>
      <c r="I35" s="39" t="s">
        <v>167</v>
      </c>
      <c r="J35" s="36" t="s">
        <v>172</v>
      </c>
      <c r="K35" s="14" t="s">
        <v>173</v>
      </c>
    </row>
    <row r="36" spans="1:12" x14ac:dyDescent="0.2">
      <c r="A36" s="14" t="s">
        <v>159</v>
      </c>
      <c r="B36" s="39" t="s">
        <v>174</v>
      </c>
      <c r="C36" s="32"/>
      <c r="D36" s="32"/>
      <c r="E36" s="32"/>
      <c r="F36" s="33" t="s">
        <v>175</v>
      </c>
      <c r="G36" s="34"/>
      <c r="H36" s="35">
        <v>1</v>
      </c>
      <c r="I36" s="39" t="s">
        <v>167</v>
      </c>
      <c r="J36" s="36" t="s">
        <v>176</v>
      </c>
      <c r="K36" s="14" t="s">
        <v>177</v>
      </c>
    </row>
    <row r="37" spans="1:12" x14ac:dyDescent="0.2">
      <c r="A37" s="14" t="s">
        <v>159</v>
      </c>
      <c r="B37" s="39" t="s">
        <v>178</v>
      </c>
      <c r="C37" s="32"/>
      <c r="D37" s="32"/>
      <c r="E37" s="32"/>
      <c r="F37" s="33">
        <v>4311971</v>
      </c>
      <c r="G37" s="34"/>
      <c r="H37" s="35">
        <v>1</v>
      </c>
      <c r="I37" s="31" t="s">
        <v>114</v>
      </c>
      <c r="J37" s="36" t="s">
        <v>179</v>
      </c>
    </row>
    <row r="38" spans="1:12" x14ac:dyDescent="0.2">
      <c r="A38" s="14" t="s">
        <v>159</v>
      </c>
      <c r="B38" s="31" t="s">
        <v>180</v>
      </c>
      <c r="C38" s="32">
        <v>6</v>
      </c>
      <c r="D38" s="32">
        <v>500</v>
      </c>
      <c r="E38" s="32">
        <f>C38*D38</f>
        <v>3000</v>
      </c>
      <c r="F38" s="33" t="s">
        <v>181</v>
      </c>
      <c r="G38" s="34">
        <v>1</v>
      </c>
      <c r="H38" s="35">
        <v>1</v>
      </c>
      <c r="I38" s="31" t="s">
        <v>114</v>
      </c>
      <c r="J38" s="36" t="s">
        <v>182</v>
      </c>
    </row>
    <row r="39" spans="1:12" x14ac:dyDescent="0.2">
      <c r="A39" s="14" t="s">
        <v>159</v>
      </c>
      <c r="B39" s="31" t="s">
        <v>183</v>
      </c>
      <c r="C39" s="32">
        <v>1</v>
      </c>
      <c r="D39" s="32">
        <v>250</v>
      </c>
      <c r="E39" s="32">
        <v>250</v>
      </c>
      <c r="F39" s="31" t="s">
        <v>184</v>
      </c>
      <c r="G39" s="34">
        <v>1</v>
      </c>
      <c r="H39" s="35">
        <v>1</v>
      </c>
      <c r="I39" s="31" t="s">
        <v>185</v>
      </c>
      <c r="J39" s="36" t="s">
        <v>186</v>
      </c>
      <c r="K39" s="14" t="s">
        <v>187</v>
      </c>
    </row>
    <row r="40" spans="1:12" x14ac:dyDescent="0.2">
      <c r="A40" s="14" t="s">
        <v>159</v>
      </c>
      <c r="B40" s="31" t="s">
        <v>188</v>
      </c>
      <c r="C40" s="32">
        <v>1</v>
      </c>
      <c r="D40" s="32">
        <v>100</v>
      </c>
      <c r="E40" s="32">
        <f>C40*D40</f>
        <v>100</v>
      </c>
      <c r="F40" s="33" t="s">
        <v>189</v>
      </c>
      <c r="G40" s="34">
        <v>1</v>
      </c>
      <c r="H40" s="35">
        <v>1</v>
      </c>
      <c r="I40" s="31" t="s">
        <v>114</v>
      </c>
      <c r="J40" s="36" t="s">
        <v>190</v>
      </c>
      <c r="K40" s="14" t="s">
        <v>191</v>
      </c>
    </row>
    <row r="41" spans="1:12" x14ac:dyDescent="0.2">
      <c r="A41" s="14" t="s">
        <v>192</v>
      </c>
      <c r="B41" s="31" t="s">
        <v>193</v>
      </c>
      <c r="C41" s="32">
        <v>25</v>
      </c>
      <c r="D41" s="32">
        <v>1</v>
      </c>
      <c r="E41" s="32">
        <f>C41*D41</f>
        <v>25</v>
      </c>
      <c r="F41" s="33" t="s">
        <v>194</v>
      </c>
      <c r="G41" s="34">
        <f>$B$5/2/96/E41</f>
        <v>1</v>
      </c>
      <c r="H41" s="35">
        <v>1</v>
      </c>
      <c r="I41" s="39" t="s">
        <v>114</v>
      </c>
      <c r="J41" s="36" t="s">
        <v>195</v>
      </c>
      <c r="K41" s="14" t="s">
        <v>196</v>
      </c>
    </row>
    <row r="42" spans="1:12" x14ac:dyDescent="0.2">
      <c r="A42" s="14" t="s">
        <v>192</v>
      </c>
      <c r="B42" s="31" t="s">
        <v>197</v>
      </c>
      <c r="C42" s="32">
        <v>100</v>
      </c>
      <c r="D42" s="32">
        <v>1</v>
      </c>
      <c r="E42" s="32">
        <v>100</v>
      </c>
      <c r="F42" s="33" t="s">
        <v>198</v>
      </c>
      <c r="G42" s="34">
        <v>1</v>
      </c>
      <c r="H42" s="35">
        <v>1</v>
      </c>
      <c r="I42" s="39" t="s">
        <v>199</v>
      </c>
      <c r="J42" s="36" t="s">
        <v>200</v>
      </c>
      <c r="K42" s="14" t="s">
        <v>196</v>
      </c>
    </row>
    <row r="43" spans="1:12" x14ac:dyDescent="0.2">
      <c r="A43" s="14" t="s">
        <v>192</v>
      </c>
      <c r="B43" s="40" t="s">
        <v>201</v>
      </c>
      <c r="C43" s="32"/>
      <c r="D43" s="32"/>
      <c r="E43" s="32"/>
      <c r="F43" s="41" t="s">
        <v>221</v>
      </c>
      <c r="G43" s="34"/>
      <c r="H43" s="42"/>
      <c r="I43" s="41" t="s">
        <v>221</v>
      </c>
      <c r="J43" s="41" t="s">
        <v>232</v>
      </c>
      <c r="K43" s="14" t="s">
        <v>202</v>
      </c>
    </row>
    <row r="44" spans="1:12" x14ac:dyDescent="0.2">
      <c r="A44" s="43" t="s">
        <v>159</v>
      </c>
      <c r="B44" s="44" t="s">
        <v>203</v>
      </c>
      <c r="C44" s="45"/>
      <c r="D44" s="45"/>
      <c r="E44" s="45"/>
      <c r="F44" s="46" t="s">
        <v>221</v>
      </c>
      <c r="G44" s="47"/>
      <c r="H44" s="48"/>
      <c r="I44" s="46" t="s">
        <v>221</v>
      </c>
      <c r="J44" s="46" t="s">
        <v>232</v>
      </c>
      <c r="K44" s="43"/>
      <c r="L44" s="43"/>
    </row>
    <row r="45" spans="1:12" x14ac:dyDescent="0.2">
      <c r="H45" s="49"/>
      <c r="I45" s="50"/>
    </row>
  </sheetData>
  <hyperlinks>
    <hyperlink ref="J27" r:id="rId1" xr:uid="{3112D882-0D49-6E40-A1C4-A416F796BA52}"/>
    <hyperlink ref="J14" r:id="rId2" xr:uid="{7870212F-4E4D-4B4B-8132-4DD3B97C7632}"/>
    <hyperlink ref="J33" r:id="rId3" xr:uid="{4AC84BA0-1AA2-624C-B563-145006331880}"/>
    <hyperlink ref="J35" r:id="rId4" xr:uid="{ABAC5417-7FF1-0B4D-AE12-816C9A54973F}"/>
    <hyperlink ref="J36" r:id="rId5" xr:uid="{09DEB9F6-2B4B-4749-AB52-ADBA976C28A6}"/>
    <hyperlink ref="J34" r:id="rId6" xr:uid="{D87B62A9-59B0-5647-AD8B-C86C975C9CC4}"/>
    <hyperlink ref="J37" r:id="rId7" xr:uid="{FA3B49FE-66E7-B945-A74A-143B67697083}"/>
    <hyperlink ref="J41" r:id="rId8" xr:uid="{1BEFC02A-C2F4-A047-B893-424D75D3D96F}"/>
    <hyperlink ref="J42" r:id="rId9" xr:uid="{F6D5142D-F9F4-C044-AC00-81A3A979A2BD}"/>
    <hyperlink ref="J11" r:id="rId10" xr:uid="{98235AFC-17E8-154E-B4E8-D3EF71B0A269}"/>
    <hyperlink ref="J13" r:id="rId11" xr:uid="{D1916E1A-46D2-1D48-A456-A2D672C0192B}"/>
    <hyperlink ref="J12" r:id="rId12" xr:uid="{1B6E63B2-0C8B-1C44-8490-872805932D95}"/>
    <hyperlink ref="J30" r:id="rId13" xr:uid="{982A1B64-BEB3-4D47-B107-033E74D05F05}"/>
  </hyperlinks>
  <pageMargins left="0.7" right="0.7" top="0.75" bottom="0.75" header="0.3" footer="0.3"/>
  <legacyDrawing r:id="rId1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F2C8D93C7E4024CB1CE5212B350A491" ma:contentTypeVersion="15" ma:contentTypeDescription="Create a new document." ma:contentTypeScope="" ma:versionID="941eaa8af332a27040cff10913520220">
  <xsd:schema xmlns:xsd="http://www.w3.org/2001/XMLSchema" xmlns:xs="http://www.w3.org/2001/XMLSchema" xmlns:p="http://schemas.microsoft.com/office/2006/metadata/properties" xmlns:ns3="8cfcf926-1f47-47ff-87a3-35e1a4ebd64d" targetNamespace="http://schemas.microsoft.com/office/2006/metadata/properties" ma:root="true" ma:fieldsID="236f98a623afa211d5345dfbbc3024d6" ns3:_="">
    <xsd:import namespace="8cfcf926-1f47-47ff-87a3-35e1a4ebd64d"/>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AutoTags" minOccurs="0"/>
                <xsd:element ref="ns3:MediaServiceGenerationTime" minOccurs="0"/>
                <xsd:element ref="ns3:MediaServiceEventHashCode" minOccurs="0"/>
                <xsd:element ref="ns3:MediaServiceOCR" minOccurs="0"/>
                <xsd:element ref="ns3:MediaServiceDateTaken" minOccurs="0"/>
                <xsd:element ref="ns3:MediaServiceLocation" minOccurs="0"/>
                <xsd:element ref="ns3:MediaLengthInSeconds" minOccurs="0"/>
                <xsd:element ref="ns3:MediaServiceObjectDetectorVersions" minOccurs="0"/>
                <xsd:element ref="ns3:MediaServiceSystemTags" minOccurs="0"/>
                <xsd:element ref="ns3:MediaServiceSearchProperties" minOccurs="0"/>
                <xsd:element ref="ns3:_activity"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cfcf926-1f47-47ff-87a3-35e1a4ebd64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2" nillable="true" ma:displayName="Tags" ma:internalName="MediaServiceAutoTags"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ServiceLocation" ma:index="17" nillable="true" ma:displayName="Location" ma:internalName="MediaServiceLocation" ma:readOnly="true">
      <xsd:simpleType>
        <xsd:restriction base="dms:Text"/>
      </xsd:simpleType>
    </xsd:element>
    <xsd:element name="MediaLengthInSeconds" ma:index="18" nillable="true" ma:displayName="MediaLengthInSeconds" ma:hidden="true" ma:internalName="MediaLengthInSeconds" ma:readOnly="true">
      <xsd:simpleType>
        <xsd:restriction base="dms:Unknow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_activity" ma:index="22" nillable="true" ma:displayName="_activity" ma:hidden="true" ma:internalName="_activity">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_activity xmlns="8cfcf926-1f47-47ff-87a3-35e1a4ebd64d"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11F4E425-C434-495A-82FD-02C3A90423C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cfcf926-1f47-47ff-87a3-35e1a4ebd64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EA6F401F-C77B-48B7-847F-32884384C29E}">
  <ds:schemaRefs>
    <ds:schemaRef ds:uri="http://purl.org/dc/terms/"/>
    <ds:schemaRef ds:uri="http://purl.org/dc/dcmitype/"/>
    <ds:schemaRef ds:uri="http://schemas.microsoft.com/office/2006/documentManagement/types"/>
    <ds:schemaRef ds:uri="8cfcf926-1f47-47ff-87a3-35e1a4ebd64d"/>
    <ds:schemaRef ds:uri="http://purl.org/dc/elements/1.1/"/>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3.xml><?xml version="1.0" encoding="utf-8"?>
<ds:datastoreItem xmlns:ds="http://schemas.openxmlformats.org/officeDocument/2006/customXml" ds:itemID="{0753EC33-2026-45C4-8114-B0D42599BA6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Protocol details</vt:lpstr>
      <vt:lpstr>Conditions - 12uL</vt:lpstr>
      <vt:lpstr>Conditions - 25uL</vt:lpstr>
      <vt:lpstr>Quality control and calling</vt:lpstr>
      <vt:lpstr>Ordering - 2021 version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Thwai, Kyaw L</dc:creator>
  <cp:lastModifiedBy>Parr, Jonathan</cp:lastModifiedBy>
  <dcterms:created xsi:type="dcterms:W3CDTF">2025-03-18T18:15:15Z</dcterms:created>
  <dcterms:modified xsi:type="dcterms:W3CDTF">2026-02-24T16:57:49Z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0x0101006F2C8D93C7E4024CB1CE5212B350A491</vt:lpwstr>
  </property>
</Properties>
</file>